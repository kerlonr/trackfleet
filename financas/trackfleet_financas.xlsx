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ejar" sheetId="1" state="visible" r:id="rId1"/>
    <sheet name="Estimar" sheetId="2" state="visible" r:id="rId2"/>
    <sheet name="Orçar" sheetId="3" state="visible" r:id="rId3"/>
    <sheet name="Financiar" sheetId="4" state="visible" r:id="rId4"/>
    <sheet name="Gerenciar" sheetId="5" state="visible" r:id="rId5"/>
    <sheet name="Medir" sheetId="6" state="visible" r:id="rId6"/>
    <sheet name="Controlar cus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F1F1F"/>
      <sz val="11"/>
    </font>
    <font>
      <b val="1"/>
      <color rgb="001F1F1F"/>
    </font>
    <font>
      <color rgb="001F1F1F"/>
    </font>
    <font>
      <i val="1"/>
      <color rgb="00404040"/>
    </font>
  </fonts>
  <fills count="6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F2F2F2"/>
      </patternFill>
    </fill>
    <fill>
      <patternFill patternType="solid">
        <fgColor rgb="00E8E8E8"/>
      </patternFill>
    </fill>
    <fill>
      <patternFill patternType="solid">
        <fgColor rgb="00EDEDE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1" pivotButton="0" quotePrefix="0" xfId="0"/>
    <xf numFmtId="4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vertical="top" wrapText="1"/>
    </xf>
    <xf numFmtId="4" fontId="3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top" wrapText="1"/>
    </xf>
    <xf numFmtId="9" fontId="4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52" customWidth="1" min="3" max="3"/>
  </cols>
  <sheetData>
    <row r="1" ht="26" customHeight="1">
      <c r="A1" s="1" t="inlineStr">
        <is>
          <t>1. PLANEJAR O GERENCIAMENTO FINANCEIRO — Manual de regras do dinheiro do TrackFleet</t>
        </is>
      </c>
    </row>
    <row r="3" ht="20" customHeight="1">
      <c r="A3" s="2" t="inlineStr">
        <is>
          <t>Bases de referência</t>
        </is>
      </c>
    </row>
    <row r="4">
      <c r="A4" s="3" t="inlineStr">
        <is>
          <t>Item</t>
        </is>
      </c>
      <c r="B4" s="3" t="inlineStr">
        <is>
          <t>Valor</t>
        </is>
      </c>
      <c r="C4" s="3" t="inlineStr">
        <is>
          <t>Observação</t>
        </is>
      </c>
    </row>
    <row r="5" ht="30" customHeight="1">
      <c r="A5" s="4" t="inlineStr">
        <is>
          <t>Moeda</t>
        </is>
      </c>
      <c r="B5" s="4" t="inlineStr">
        <is>
          <t>R$ (BRL)</t>
        </is>
      </c>
      <c r="C5" s="4" t="inlineStr">
        <is>
          <t>Todos os valores deste modelo em reais correntes.</t>
        </is>
      </c>
    </row>
    <row r="6" ht="30" customHeight="1">
      <c r="A6" s="4" t="inlineStr">
        <is>
          <t>Custo-hora de referência</t>
        </is>
      </c>
      <c r="B6" s="4" t="inlineStr">
        <is>
          <t>R$ 50,00</t>
        </is>
      </c>
      <c r="C6" s="4" t="inlineStr">
        <is>
          <t>Custo de oportunidade da hora de GP (dev júnior de mercado); o projeto não paga salário, mas contabiliza o tempo.</t>
        </is>
      </c>
    </row>
    <row r="7" ht="30" customHeight="1">
      <c r="A7" s="4" t="inlineStr">
        <is>
          <t>Dia útil de trabalho</t>
        </is>
      </c>
      <c r="B7" s="4" t="inlineStr">
        <is>
          <t>6 horas produtivas</t>
        </is>
      </c>
      <c r="C7" s="4" t="inlineStr">
        <is>
          <t>Base para converter dias do Cronograma em reais.</t>
        </is>
      </c>
    </row>
    <row r="8" ht="30" customHeight="1">
      <c r="A8" s="4" t="inlineStr">
        <is>
          <t>Dia-pessoa (R$)</t>
        </is>
      </c>
      <c r="B8" s="4" t="inlineStr">
        <is>
          <t>R$ 300,00</t>
        </is>
      </c>
      <c r="C8" s="4">
        <f> 50 x 6. Ponte entre o Cronograma (dias) e as Finanças (reais).</f>
        <v/>
      </c>
    </row>
    <row r="9" ht="30" customHeight="1">
      <c r="A9" s="4" t="inlineStr">
        <is>
          <t>Cadência de medição</t>
        </is>
      </c>
      <c r="B9" s="4" t="inlineStr">
        <is>
          <t>Check-in semanal</t>
        </is>
      </c>
      <c r="C9" s="4" t="inlineStr">
        <is>
          <t>Mesma cadência da Governança e do Cronograma — sem reunião financeira à parte.</t>
        </is>
      </c>
    </row>
    <row r="11" ht="20" customHeight="1">
      <c r="A11" s="2" t="inlineStr">
        <is>
          <t>Governança financeira (quem aprova o quê)</t>
        </is>
      </c>
    </row>
    <row r="12">
      <c r="A12" s="3" t="inlineStr">
        <is>
          <t>Decisão</t>
        </is>
      </c>
      <c r="B12" s="3" t="inlineStr">
        <is>
          <t>Quem aprova</t>
        </is>
      </c>
      <c r="C12" s="3" t="inlineStr">
        <is>
          <t>Registro</t>
        </is>
      </c>
    </row>
    <row r="13" ht="26" customHeight="1">
      <c r="A13" s="4" t="inlineStr">
        <is>
          <t>Gasto do dia a dia (dentro da linha de base)</t>
        </is>
      </c>
      <c r="B13" s="4" t="inlineStr">
        <is>
          <t>Dois GPs por consenso</t>
        </is>
      </c>
      <c r="C13" s="4" t="inlineStr">
        <is>
          <t>—</t>
        </is>
      </c>
    </row>
    <row r="14" ht="26" customHeight="1">
      <c r="A14" s="4" t="inlineStr">
        <is>
          <t>Uso da reserva de contingência</t>
        </is>
      </c>
      <c r="B14" s="4" t="inlineStr">
        <is>
          <t>Dois GPs (é para riscos conhecidos)</t>
        </is>
      </c>
      <c r="C14" s="4" t="inlineStr">
        <is>
          <t>Log de decisões do projeto</t>
        </is>
      </c>
    </row>
    <row r="15" ht="26" customHeight="1">
      <c r="A15" s="4" t="inlineStr">
        <is>
          <t>Liberação da reserva de gerenciamento</t>
        </is>
      </c>
      <c r="B15" s="4" t="inlineStr">
        <is>
          <t>Patrocinador (Diretoria da transportadora)</t>
        </is>
      </c>
      <c r="C15" s="4" t="inlineStr">
        <is>
          <t>Escalonamento formal (Governança)</t>
        </is>
      </c>
    </row>
    <row r="17" ht="20" customHeight="1">
      <c r="A17" s="2" t="inlineStr">
        <is>
          <t>Tolerâncias — o que transforma um número em ação</t>
        </is>
      </c>
    </row>
    <row r="18">
      <c r="A18" s="3" t="inlineStr">
        <is>
          <t>Gatilho</t>
        </is>
      </c>
      <c r="B18" s="3" t="inlineStr">
        <is>
          <t>Ação</t>
        </is>
      </c>
      <c r="C18" s="5" t="n"/>
    </row>
    <row r="19" ht="30" customHeight="1">
      <c r="A19" s="4" t="inlineStr">
        <is>
          <t>CPI ou SPI abaixo de 0,90 em um check-in</t>
        </is>
      </c>
      <c r="B19" s="4" t="inlineStr">
        <is>
          <t>Ação corretiva imediata dos GPs, focada primeiro no caminho crítico.</t>
        </is>
      </c>
      <c r="C19" s="6" t="n"/>
    </row>
    <row r="20" ht="30" customHeight="1">
      <c r="A20" s="4" t="inlineStr">
        <is>
          <t>Projeção de término (EAC) que ameace a reserva de gerenciamento</t>
        </is>
      </c>
      <c r="B20" s="4" t="inlineStr">
        <is>
          <t>Revisão formal e alerta ao patrocinador; acima da reserva, escalonamento e re-baseline.</t>
        </is>
      </c>
      <c r="C20" s="6" t="n"/>
    </row>
    <row r="21" ht="30" customHeight="1">
      <c r="A21" s="4" t="inlineStr">
        <is>
          <t>Consumo da reserva de contingência acima do avanço físico do projeto</t>
        </is>
      </c>
      <c r="B21" s="4" t="inlineStr">
        <is>
          <t>Reavaliação das estimativas restantes no check-in seguinte.</t>
        </is>
      </c>
      <c r="C21" s="6" t="n"/>
    </row>
  </sheetData>
  <mergeCells count="8">
    <mergeCell ref="B21:C21"/>
    <mergeCell ref="A11:C11"/>
    <mergeCell ref="A1:C1"/>
    <mergeCell ref="B19:C19"/>
    <mergeCell ref="B20:C20"/>
    <mergeCell ref="A17:C17"/>
    <mergeCell ref="A3:C3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14" customWidth="1" min="4" max="4"/>
    <col width="15" customWidth="1" min="5" max="5"/>
  </cols>
  <sheetData>
    <row r="1" ht="26" customHeight="1">
      <c r="A1" s="1" t="inlineStr">
        <is>
          <t>2. ESTIMAR CUSTOS — Estimativa por pacote da EAP (custo-hora R$ 300/dia-pessoa)</t>
        </is>
      </c>
    </row>
    <row r="3" ht="20" customHeight="1">
      <c r="A3" s="2" t="inlineStr">
        <is>
          <t>Estimativa bottom-up por pacote</t>
        </is>
      </c>
    </row>
    <row r="4">
      <c r="A4" s="3" t="inlineStr">
        <is>
          <t>Pacote EAP</t>
        </is>
      </c>
      <c r="B4" s="3" t="inlineStr">
        <is>
          <t>Conteúdo</t>
        </is>
      </c>
      <c r="C4" s="3" t="inlineStr">
        <is>
          <t>Técnica</t>
        </is>
      </c>
      <c r="D4" s="3" t="inlineStr">
        <is>
          <t>Dias-pessoa</t>
        </is>
      </c>
      <c r="E4" s="3" t="inlineStr">
        <is>
          <t>Custo (R$)</t>
        </is>
      </c>
    </row>
    <row r="5" ht="28" customHeight="1">
      <c r="A5" s="4" t="inlineStr">
        <is>
          <t>1.1 Gestão do Projeto</t>
        </is>
      </c>
      <c r="B5" s="4" t="inlineStr">
        <is>
          <t>Termo, governança, arquitetura e acompanhamento</t>
        </is>
      </c>
      <c r="C5" s="4" t="inlineStr">
        <is>
          <t>Análoga</t>
        </is>
      </c>
      <c r="D5" s="7">
        <f>E5/300</f>
        <v/>
      </c>
      <c r="E5" s="8" t="n">
        <v>3600</v>
      </c>
    </row>
    <row r="6" ht="28" customHeight="1">
      <c r="A6" s="4" t="inlineStr">
        <is>
          <t>1.2 Requisitos</t>
        </is>
      </c>
      <c r="B6" s="4" t="inlineStr">
        <is>
          <t>Entrevistas e especificação</t>
        </is>
      </c>
      <c r="C6" s="4" t="inlineStr">
        <is>
          <t>Análoga</t>
        </is>
      </c>
      <c r="D6" s="7">
        <f>E6/300</f>
        <v/>
      </c>
      <c r="E6" s="8" t="n">
        <v>3000</v>
      </c>
    </row>
    <row r="7" ht="28" customHeight="1">
      <c r="A7" s="4" t="inlineStr">
        <is>
          <t>1.3.1 Backend, API e ingestão</t>
        </is>
      </c>
      <c r="B7" s="4" t="inlineStr">
        <is>
          <t>API própria e ingestão das posições</t>
        </is>
      </c>
      <c r="C7" s="4" t="inlineStr">
        <is>
          <t>Três pontos</t>
        </is>
      </c>
      <c r="D7" s="7">
        <f>E7/300</f>
        <v/>
      </c>
      <c r="E7" s="8" t="n">
        <v>5550</v>
      </c>
    </row>
    <row r="8" ht="28" customHeight="1">
      <c r="A8" s="4" t="inlineStr">
        <is>
          <t>1.3.2 Motor de alertas</t>
        </is>
      </c>
      <c r="B8" s="4" t="inlineStr">
        <is>
          <t>Os quatro motores do catálogo</t>
        </is>
      </c>
      <c r="C8" s="4" t="inlineStr">
        <is>
          <t>Três pontos</t>
        </is>
      </c>
      <c r="D8" s="7">
        <f>E8/300</f>
        <v/>
      </c>
      <c r="E8" s="8" t="n">
        <v>2850</v>
      </c>
    </row>
    <row r="9" ht="28" customHeight="1">
      <c r="A9" s="4" t="inlineStr">
        <is>
          <t>1.3.3 Frontend</t>
        </is>
      </c>
      <c r="B9" s="4" t="inlineStr">
        <is>
          <t>Mapa, painel, cadastros e relatórios</t>
        </is>
      </c>
      <c r="C9" s="4" t="inlineStr">
        <is>
          <t>Paramétrica</t>
        </is>
      </c>
      <c r="D9" s="7">
        <f>E9/300</f>
        <v/>
      </c>
      <c r="E9" s="8" t="n">
        <v>5100</v>
      </c>
    </row>
    <row r="10" ht="28" customHeight="1">
      <c r="A10" s="4" t="inlineStr">
        <is>
          <t>1.3.4 Autenticação e LGPD</t>
        </is>
      </c>
      <c r="B10" s="4" t="inlineStr">
        <is>
          <t>Perfil de gestor e conformidade</t>
        </is>
      </c>
      <c r="C10" s="4" t="inlineStr">
        <is>
          <t>Bottom-up</t>
        </is>
      </c>
      <c r="D10" s="7">
        <f>E10/300</f>
        <v/>
      </c>
      <c r="E10" s="8" t="n">
        <v>1500</v>
      </c>
    </row>
    <row r="11" ht="28" customHeight="1">
      <c r="A11" s="4" t="inlineStr">
        <is>
          <t>1.4 Testes e Homologação</t>
        </is>
      </c>
      <c r="B11" s="4" t="inlineStr">
        <is>
          <t>Testes e piloto com a transportadora</t>
        </is>
      </c>
      <c r="C11" s="4" t="inlineStr">
        <is>
          <t>Três pontos</t>
        </is>
      </c>
      <c r="D11" s="7">
        <f>E11/300</f>
        <v/>
      </c>
      <c r="E11" s="8" t="n">
        <v>4400</v>
      </c>
    </row>
    <row r="12" ht="28" customHeight="1">
      <c r="A12" s="4" t="inlineStr">
        <is>
          <t>1.5 Treinamento e Encerramento</t>
        </is>
      </c>
      <c r="B12" s="4" t="inlineStr">
        <is>
          <t>Treinamento e lições aprendidas</t>
        </is>
      </c>
      <c r="C12" s="4" t="inlineStr">
        <is>
          <t>Análoga</t>
        </is>
      </c>
      <c r="D12" s="7">
        <f>E12/300</f>
        <v/>
      </c>
      <c r="E12" s="8" t="n">
        <v>1200</v>
      </c>
    </row>
    <row r="13">
      <c r="A13" s="9" t="inlineStr">
        <is>
          <t>Subtotal mão de obra (CapEx)</t>
        </is>
      </c>
      <c r="B13" s="9" t="inlineStr"/>
      <c r="C13" s="9" t="inlineStr"/>
      <c r="D13" s="10">
        <f>SUM(D5:D12)</f>
        <v/>
      </c>
      <c r="E13" s="11">
        <f>SUM(E5:E12)</f>
        <v/>
      </c>
    </row>
    <row r="14">
      <c r="A14" s="4" t="inlineStr">
        <is>
          <t>Infraestrutura do período (OpEx)</t>
        </is>
      </c>
      <c r="B14" s="4" t="inlineStr">
        <is>
          <t>API, hospedagem, domínio, TLS</t>
        </is>
      </c>
      <c r="C14" s="4" t="inlineStr">
        <is>
          <t>Bottom-up</t>
        </is>
      </c>
      <c r="D14" s="4" t="inlineStr"/>
      <c r="E14" s="8" t="n">
        <v>700</v>
      </c>
    </row>
    <row r="15">
      <c r="A15" s="9" t="inlineStr">
        <is>
          <t>Total das estimativas</t>
        </is>
      </c>
      <c r="B15" s="9" t="inlineStr"/>
      <c r="C15" s="9" t="inlineStr"/>
      <c r="D15" s="9" t="inlineStr"/>
      <c r="E15" s="11">
        <f>E13+E14</f>
        <v/>
      </c>
    </row>
    <row r="17" ht="20" customHeight="1">
      <c r="A17" s="2" t="inlineStr">
        <is>
          <t>Estimativa de três pontos dos pacotes de risco — C_E = (O + 4M + P) / 6</t>
        </is>
      </c>
    </row>
    <row r="18">
      <c r="A18" s="3" t="inlineStr">
        <is>
          <t>Pacote</t>
        </is>
      </c>
      <c r="B18" s="3" t="inlineStr">
        <is>
          <t>Otimista (R$)</t>
        </is>
      </c>
      <c r="C18" s="3" t="inlineStr">
        <is>
          <t>Mais provável (R$)</t>
        </is>
      </c>
      <c r="D18" s="3" t="inlineStr">
        <is>
          <t>Pessimista (R$)</t>
        </is>
      </c>
      <c r="E18" s="3" t="inlineStr">
        <is>
          <t>Estimado C_E (R$)</t>
        </is>
      </c>
    </row>
    <row r="19" ht="22" customHeight="1">
      <c r="A19" s="4" t="inlineStr">
        <is>
          <t>1.3.1 Backend, API e ingestão</t>
        </is>
      </c>
      <c r="B19" s="8" t="n">
        <v>3600</v>
      </c>
      <c r="C19" s="8" t="n">
        <v>5400</v>
      </c>
      <c r="D19" s="8" t="n">
        <v>8100</v>
      </c>
      <c r="E19" s="8">
        <f>(B19+4*C19+D19)/6</f>
        <v/>
      </c>
    </row>
    <row r="20" ht="22" customHeight="1">
      <c r="A20" s="4" t="inlineStr">
        <is>
          <t>1.3.2 Motor de alertas</t>
        </is>
      </c>
      <c r="B20" s="8" t="n">
        <v>1800</v>
      </c>
      <c r="C20" s="8" t="n">
        <v>2700</v>
      </c>
      <c r="D20" s="8" t="n">
        <v>4500</v>
      </c>
      <c r="E20" s="8">
        <f>(B20+4*C20+D20)/6</f>
        <v/>
      </c>
    </row>
    <row r="21" ht="22" customHeight="1">
      <c r="A21" s="4" t="inlineStr">
        <is>
          <t>1.4 Testes e Homologação</t>
        </is>
      </c>
      <c r="B21" s="8" t="n">
        <v>3000</v>
      </c>
      <c r="C21" s="8" t="n">
        <v>4200</v>
      </c>
      <c r="D21" s="8" t="n">
        <v>6600</v>
      </c>
      <c r="E21" s="8">
        <f>(B21+4*C21+D21)/6</f>
        <v/>
      </c>
    </row>
    <row r="23" ht="30" customHeight="1">
      <c r="A23" s="12" t="inlineStr">
        <is>
          <t>A distância entre otimista e pessimista mede o risco do pacote — é o que dimensiona a reserva de contingência da aba Orçar. O Backend depende de API externa; o Motor de alertas reúne quatro lógicas de disparo.</t>
        </is>
      </c>
    </row>
  </sheetData>
  <mergeCells count="4">
    <mergeCell ref="A1:E1"/>
    <mergeCell ref="A23:E23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30" customWidth="1" min="3" max="3"/>
    <col width="16" customWidth="1" min="4" max="4"/>
  </cols>
  <sheetData>
    <row r="1" ht="26" customHeight="1">
      <c r="A1" s="1" t="inlineStr">
        <is>
          <t>3. DESENVOLVER O ORÇAMENTO — Estimativas + reservas = linha de base autorizada</t>
        </is>
      </c>
    </row>
    <row r="3" ht="20" customHeight="1">
      <c r="A3" s="2" t="inlineStr">
        <is>
          <t>As duas reservas</t>
        </is>
      </c>
    </row>
    <row r="4">
      <c r="A4" s="3" t="inlineStr">
        <is>
          <t>Reserva</t>
        </is>
      </c>
      <c r="B4" s="3" t="inlineStr">
        <is>
          <t>Cobre</t>
        </is>
      </c>
      <c r="C4" s="3" t="inlineStr">
        <is>
          <t>Onde fica</t>
        </is>
      </c>
    </row>
    <row r="5" ht="30" customHeight="1">
      <c r="A5" s="4" t="inlineStr">
        <is>
          <t>Contingência — riscos conhecidos</t>
        </is>
      </c>
      <c r="B5" s="4" t="inlineStr">
        <is>
          <t>Estouros previsíveis das frentes de risco (Backend/API e Motor de alertas)</t>
        </is>
      </c>
      <c r="C5" s="4" t="inlineStr">
        <is>
          <t>DENTRO da linha de base; controlada pelos GPs</t>
        </is>
      </c>
    </row>
    <row r="6" ht="30" customHeight="1">
      <c r="A6" s="4" t="inlineStr">
        <is>
          <t>Gerenciamento — riscos desconhecidos</t>
        </is>
      </c>
      <c r="B6" s="4" t="inlineStr">
        <is>
          <t>Trabalho imprevisto que ninguém mapeou</t>
        </is>
      </c>
      <c r="C6" s="4" t="inlineStr">
        <is>
          <t>FORA da linha de base; liberada pelo patrocinador</t>
        </is>
      </c>
    </row>
    <row r="8" ht="20" customHeight="1">
      <c r="A8" s="2" t="inlineStr">
        <is>
          <t>Composição do orçamento</t>
        </is>
      </c>
    </row>
    <row r="9">
      <c r="A9" s="3" t="inlineStr">
        <is>
          <t>Componente</t>
        </is>
      </c>
      <c r="B9" s="3" t="inlineStr">
        <is>
          <t>Valor (R$)</t>
        </is>
      </c>
      <c r="C9" s="5" t="n"/>
    </row>
    <row r="10">
      <c r="A10" s="4" t="inlineStr">
        <is>
          <t>Estimativas dos pacotes (mão de obra)</t>
        </is>
      </c>
      <c r="B10" s="8" t="n">
        <v>27200</v>
      </c>
      <c r="C10" s="4" t="inlineStr"/>
    </row>
    <row r="11">
      <c r="A11" s="4" t="inlineStr">
        <is>
          <t>Infraestrutura do período (OpEx)</t>
        </is>
      </c>
      <c r="B11" s="8" t="n">
        <v>700</v>
      </c>
      <c r="C11" s="4" t="inlineStr"/>
    </row>
    <row r="12">
      <c r="A12" s="9" t="inlineStr">
        <is>
          <t>Subtotal das estimativas</t>
        </is>
      </c>
      <c r="B12" s="11">
        <f>B10+B11</f>
        <v/>
      </c>
      <c r="C12" s="9" t="inlineStr"/>
    </row>
    <row r="13">
      <c r="A13" s="4" t="inlineStr">
        <is>
          <t>(+) Reserva de contingência (10% das estimativas)</t>
        </is>
      </c>
      <c r="B13" s="8">
        <f>ROUND(B12*0.1,0)</f>
        <v/>
      </c>
      <c r="C13" s="4" t="inlineStr"/>
    </row>
    <row r="14">
      <c r="A14" s="9" t="inlineStr">
        <is>
          <t>Linha de base de custos (BAC)</t>
        </is>
      </c>
      <c r="B14" s="11">
        <f>B12+B13</f>
        <v/>
      </c>
      <c r="C14" s="9" t="inlineStr"/>
    </row>
    <row r="15">
      <c r="A15" s="4" t="inlineStr">
        <is>
          <t>(+) Reserva de gerenciamento (5% da linha de base)</t>
        </is>
      </c>
      <c r="B15" s="8">
        <f>ROUND(B14*0.05,0)</f>
        <v/>
      </c>
      <c r="C15" s="4" t="inlineStr"/>
    </row>
    <row r="16">
      <c r="A16" s="9" t="inlineStr">
        <is>
          <t>Orçamento total do projeto</t>
        </is>
      </c>
      <c r="B16" s="11">
        <f>B14+B15</f>
        <v/>
      </c>
      <c r="C16" s="9" t="inlineStr"/>
    </row>
    <row r="18" ht="30" customHeight="1">
      <c r="A18" s="12" t="inlineStr">
        <is>
          <t>A linha de base (BAC) é a régua do EVM; o orçamento total é maior porque inclui a reserva de gerenciamento, que NÃO faz parte da base de comparação. A linha de base é aprovada pelo patrocinador.</t>
        </is>
      </c>
    </row>
    <row r="20" ht="20" customHeight="1">
      <c r="A20" s="2" t="inlineStr">
        <is>
          <t>Orçamento no tempo — Curva S (Valor Planejado acumulado sobre as 10 semanas)</t>
        </is>
      </c>
    </row>
    <row r="21">
      <c r="A21" s="3" t="inlineStr">
        <is>
          <t>Semana</t>
        </is>
      </c>
      <c r="B21" s="3" t="inlineStr">
        <is>
          <t>% acumulado</t>
        </is>
      </c>
      <c r="C21" s="3" t="inlineStr">
        <is>
          <t>Acumulado (R$) = BAC x %</t>
        </is>
      </c>
    </row>
    <row r="22">
      <c r="A22" s="4" t="inlineStr">
        <is>
          <t>S1</t>
        </is>
      </c>
      <c r="B22" s="13" t="n">
        <v>0.05</v>
      </c>
      <c r="C22" s="8">
        <f>ROUND($B$14*B22,0)</f>
        <v/>
      </c>
    </row>
    <row r="23">
      <c r="A23" s="4" t="inlineStr">
        <is>
          <t>S2</t>
        </is>
      </c>
      <c r="B23" s="13" t="n">
        <v>0.12</v>
      </c>
      <c r="C23" s="8">
        <f>ROUND($B$14*B23,0)</f>
        <v/>
      </c>
    </row>
    <row r="24">
      <c r="A24" s="4" t="inlineStr">
        <is>
          <t>S3</t>
        </is>
      </c>
      <c r="B24" s="13" t="n">
        <v>0.22</v>
      </c>
      <c r="C24" s="8">
        <f>ROUND($B$14*B24,0)</f>
        <v/>
      </c>
    </row>
    <row r="25">
      <c r="A25" s="4" t="inlineStr">
        <is>
          <t>S4</t>
        </is>
      </c>
      <c r="B25" s="13" t="n">
        <v>0.36</v>
      </c>
      <c r="C25" s="8">
        <f>ROUND($B$14*B25,0)</f>
        <v/>
      </c>
    </row>
    <row r="26">
      <c r="A26" s="4" t="inlineStr">
        <is>
          <t>S5</t>
        </is>
      </c>
      <c r="B26" s="13" t="n">
        <v>0.5</v>
      </c>
      <c r="C26" s="8">
        <f>ROUND($B$14*B26,0)</f>
        <v/>
      </c>
    </row>
    <row r="27">
      <c r="A27" s="4" t="inlineStr">
        <is>
          <t>S6</t>
        </is>
      </c>
      <c r="B27" s="13" t="n">
        <v>0.6</v>
      </c>
      <c r="C27" s="8">
        <f>ROUND($B$14*B27,0)</f>
        <v/>
      </c>
    </row>
    <row r="28">
      <c r="A28" s="4" t="inlineStr">
        <is>
          <t>S7</t>
        </is>
      </c>
      <c r="B28" s="13" t="n">
        <v>0.74</v>
      </c>
      <c r="C28" s="8">
        <f>ROUND($B$14*B28,0)</f>
        <v/>
      </c>
    </row>
    <row r="29">
      <c r="A29" s="4" t="inlineStr">
        <is>
          <t>S8</t>
        </is>
      </c>
      <c r="B29" s="13" t="n">
        <v>0.86</v>
      </c>
      <c r="C29" s="8">
        <f>ROUND($B$14*B29,0)</f>
        <v/>
      </c>
    </row>
    <row r="30">
      <c r="A30" s="4" t="inlineStr">
        <is>
          <t>S9</t>
        </is>
      </c>
      <c r="B30" s="13" t="n">
        <v>0.95</v>
      </c>
      <c r="C30" s="8">
        <f>ROUND($B$14*B30,0)</f>
        <v/>
      </c>
    </row>
    <row r="31">
      <c r="A31" s="4" t="inlineStr">
        <is>
          <t>S10</t>
        </is>
      </c>
      <c r="B31" s="13" t="n">
        <v>1</v>
      </c>
      <c r="C31" s="8">
        <f>ROUND($B$14*B31,0)</f>
        <v/>
      </c>
    </row>
    <row r="32" ht="30" customHeight="1">
      <c r="A32" s="12" t="inlineStr">
        <is>
          <t>Forma de S: gasto lento no arranque, íngreme no miolo do desenvolvimento, achatado no encerramento. Esta curva é o PV usado no exemplo da aba Controlar custos.</t>
        </is>
      </c>
    </row>
  </sheetData>
  <mergeCells count="7">
    <mergeCell ref="A1:D1"/>
    <mergeCell ref="A32:C32"/>
    <mergeCell ref="A8:C8"/>
    <mergeCell ref="A18:C18"/>
    <mergeCell ref="A3:C3"/>
    <mergeCell ref="B9:C9"/>
    <mergeCell ref="A20:C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2" customWidth="1" min="3" max="3"/>
    <col width="16" customWidth="1" min="4" max="4"/>
  </cols>
  <sheetData>
    <row r="1" ht="26" customHeight="1">
      <c r="A1" s="1" t="inlineStr">
        <is>
          <t>4. FINANCIAR / FUNDEAR — Fontes de recursos e classificação de custos</t>
        </is>
      </c>
    </row>
    <row r="3" ht="20" customHeight="1">
      <c r="A3" s="2" t="inlineStr">
        <is>
          <t>Fontes de financiamento</t>
        </is>
      </c>
    </row>
    <row r="4">
      <c r="A4" s="3" t="inlineStr">
        <is>
          <t>Fonte</t>
        </is>
      </c>
      <c r="B4" s="3" t="inlineStr">
        <is>
          <t>Papel no TrackFleet</t>
        </is>
      </c>
      <c r="C4" s="3" t="inlineStr">
        <is>
          <t>Aplica?</t>
        </is>
      </c>
      <c r="D4" s="3" t="inlineStr">
        <is>
          <t>Nível de rigor</t>
        </is>
      </c>
    </row>
    <row r="5" ht="28" customHeight="1">
      <c r="A5" s="4" t="inlineStr">
        <is>
          <t>Orçamento interno</t>
        </is>
      </c>
      <c r="B5" s="4" t="inlineStr">
        <is>
          <t>Horas dos dois GPs (recurso próprio, sem desembolso de caixa)</t>
        </is>
      </c>
      <c r="C5" s="4" t="inlineStr">
        <is>
          <t>Sim — fonte principal</t>
        </is>
      </c>
      <c r="D5" s="4" t="inlineStr">
        <is>
          <t>Leve</t>
        </is>
      </c>
    </row>
    <row r="6" ht="28" customHeight="1">
      <c r="A6" s="4" t="inlineStr">
        <is>
          <t>Contrato / patrocínio de cliente</t>
        </is>
      </c>
      <c r="B6" s="4" t="inlineStr">
        <is>
          <t>Transportadora parceira custeia a infraestrutura do piloto</t>
        </is>
      </c>
      <c r="C6" s="4" t="inlineStr">
        <is>
          <t>Sim — fonte secundária</t>
        </is>
      </c>
      <c r="D6" s="4" t="inlineStr">
        <is>
          <t>Leve, com prestação de contas da infra</t>
        </is>
      </c>
    </row>
    <row r="7" ht="28" customHeight="1">
      <c r="A7" s="4" t="inlineStr">
        <is>
          <t>Subvenções / grants</t>
        </is>
      </c>
      <c r="B7" s="4" t="inlineStr">
        <is>
          <t>—</t>
        </is>
      </c>
      <c r="C7" s="4" t="inlineStr">
        <is>
          <t>Não se aplica</t>
        </is>
      </c>
      <c r="D7" s="4" t="inlineStr">
        <is>
          <t>—</t>
        </is>
      </c>
    </row>
    <row r="8" ht="28" customHeight="1">
      <c r="A8" s="4" t="inlineStr">
        <is>
          <t>Crowdfunding</t>
        </is>
      </c>
      <c r="B8" s="4" t="inlineStr">
        <is>
          <t>—</t>
        </is>
      </c>
      <c r="C8" s="4" t="inlineStr">
        <is>
          <t>Não se aplica</t>
        </is>
      </c>
      <c r="D8" s="4" t="inlineStr">
        <is>
          <t>—</t>
        </is>
      </c>
    </row>
    <row r="10" ht="30" customHeight="1">
      <c r="A10" s="12" t="inlineStr">
        <is>
          <t>A fonte define o nível de rigor do controle: financiamento interno + patrocínio leve = governança financeira leve. A LGPD impõe controle formal de dados independentemente da fonte.</t>
        </is>
      </c>
    </row>
    <row r="12" ht="20" customHeight="1">
      <c r="A12" s="2" t="inlineStr">
        <is>
          <t>Classificação CapEx x OpEx</t>
        </is>
      </c>
    </row>
    <row r="13">
      <c r="A13" s="3" t="inlineStr">
        <is>
          <t>Categoria</t>
        </is>
      </c>
      <c r="B13" s="3" t="inlineStr">
        <is>
          <t>O que é no TrackFleet</t>
        </is>
      </c>
      <c r="C13" s="3" t="inlineStr">
        <is>
          <t>Itens</t>
        </is>
      </c>
      <c r="D13" s="3" t="inlineStr">
        <is>
          <t>Valor (R$)</t>
        </is>
      </c>
    </row>
    <row r="14" ht="28" customHeight="1">
      <c r="A14" s="4" t="inlineStr">
        <is>
          <t>CapEx — constrói o ativo</t>
        </is>
      </c>
      <c r="B14" s="4" t="inlineStr">
        <is>
          <t>Trabalho que cria a plataforma (bem duradouro)</t>
        </is>
      </c>
      <c r="C14" s="4" t="inlineStr">
        <is>
          <t>Horas de dev, arquitetura e setup inicial</t>
        </is>
      </c>
      <c r="D14" s="8" t="n">
        <v>27200</v>
      </c>
    </row>
    <row r="15" ht="28" customHeight="1">
      <c r="A15" s="4" t="inlineStr">
        <is>
          <t>OpEx — roda o dia a dia</t>
        </is>
      </c>
      <c r="B15" s="4" t="inlineStr">
        <is>
          <t>Custos contínuos durante projeto e piloto</t>
        </is>
      </c>
      <c r="C15" s="4" t="inlineStr">
        <is>
          <t>API, hospedagem, domínio, TLS (grátis)</t>
        </is>
      </c>
      <c r="D15" s="8" t="n">
        <v>700</v>
      </c>
    </row>
    <row r="17" ht="30" customHeight="1">
      <c r="A17" s="12" t="inlineStr">
        <is>
          <t>Gancho com o Termo de Abertura: 'orçamento zero para hardware próprio' elimina de propósito o maior CapEx de um sistema de rastreamento (comprar/instalar rastreadores) e o troca por OpEx (assinatura de API de terceiros).</t>
        </is>
      </c>
    </row>
    <row r="19" ht="20" customHeight="1">
      <c r="A19" s="2" t="inlineStr">
        <is>
          <t>Detalhamento do OpEx do período</t>
        </is>
      </c>
    </row>
    <row r="20">
      <c r="A20" s="3" t="inlineStr">
        <is>
          <t>Item</t>
        </is>
      </c>
      <c r="B20" s="3" t="inlineStr">
        <is>
          <t>R$ por mês</t>
        </is>
      </c>
      <c r="C20" s="3" t="inlineStr">
        <is>
          <t>Meses / base</t>
        </is>
      </c>
      <c r="D20" s="3" t="inlineStr">
        <is>
          <t>Total (R$)</t>
        </is>
      </c>
    </row>
    <row r="21">
      <c r="A21" s="4" t="inlineStr">
        <is>
          <t>Assinatura da API do provedor de rastreamento</t>
        </is>
      </c>
      <c r="B21" s="8" t="n">
        <v>100</v>
      </c>
      <c r="C21" s="4" t="inlineStr">
        <is>
          <t>3 meses</t>
        </is>
      </c>
      <c r="D21" s="8">
        <f>B21*3</f>
        <v/>
      </c>
    </row>
    <row r="22">
      <c r="A22" s="4" t="inlineStr">
        <is>
          <t>Hospedagem (VPS / nuvem de baixo custo)</t>
        </is>
      </c>
      <c r="B22" s="8" t="n">
        <v>60</v>
      </c>
      <c r="C22" s="4" t="inlineStr">
        <is>
          <t>4 meses</t>
        </is>
      </c>
      <c r="D22" s="8">
        <f>B22*4</f>
        <v/>
      </c>
    </row>
    <row r="23">
      <c r="A23" s="4" t="inlineStr">
        <is>
          <t>Domínio (.com.br)</t>
        </is>
      </c>
      <c r="B23" s="8" t="n"/>
      <c r="C23" s="4" t="inlineStr">
        <is>
          <t>anual</t>
        </is>
      </c>
      <c r="D23" s="8" t="n">
        <v>40</v>
      </c>
    </row>
    <row r="24">
      <c r="A24" s="4" t="inlineStr">
        <is>
          <t>Certificado TLS (Let's Encrypt)</t>
        </is>
      </c>
      <c r="B24" s="8" t="n"/>
      <c r="C24" s="4" t="inlineStr">
        <is>
          <t>gratuito</t>
        </is>
      </c>
      <c r="D24" s="8" t="n">
        <v>0</v>
      </c>
    </row>
    <row r="25">
      <c r="A25" s="4" t="inlineStr">
        <is>
          <t>Ferramentas e diversos</t>
        </is>
      </c>
      <c r="B25" s="8" t="n"/>
      <c r="C25" s="4" t="inlineStr">
        <is>
          <t>período</t>
        </is>
      </c>
      <c r="D25" s="8" t="n">
        <v>120</v>
      </c>
    </row>
    <row r="26">
      <c r="A26" s="9" t="inlineStr">
        <is>
          <t>Total OpEx</t>
        </is>
      </c>
      <c r="B26" s="9" t="inlineStr"/>
      <c r="C26" s="9" t="inlineStr"/>
      <c r="D26" s="11">
        <f>SUM(D21:D25)</f>
        <v/>
      </c>
    </row>
  </sheetData>
  <mergeCells count="6">
    <mergeCell ref="A1:D1"/>
    <mergeCell ref="A17:D17"/>
    <mergeCell ref="A12:D12"/>
    <mergeCell ref="A3:D3"/>
    <mergeCell ref="A19:D19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20" customWidth="1" min="3" max="3"/>
    <col width="18" customWidth="1" min="4" max="4"/>
  </cols>
  <sheetData>
    <row r="1" ht="26" customHeight="1">
      <c r="A1" s="1" t="inlineStr">
        <is>
          <t>5. GERENCIAR — Gestão do valor: por que o investimento se justifica</t>
        </is>
      </c>
    </row>
    <row r="3" ht="20" customHeight="1">
      <c r="A3" s="2" t="inlineStr">
        <is>
          <t>Premissas do business case (visão do patrocinador — conservadoras e sujeitas a sensibilidade)</t>
        </is>
      </c>
    </row>
    <row r="4">
      <c r="A4" s="3" t="inlineStr">
        <is>
          <t>Item</t>
        </is>
      </c>
      <c r="B4" s="3" t="inlineStr">
        <is>
          <t>Valor</t>
        </is>
      </c>
      <c r="C4" s="14" t="n"/>
      <c r="D4" s="5" t="n"/>
    </row>
    <row r="5">
      <c r="A5" s="4" t="inlineStr">
        <is>
          <t>Investimento inicial (orçamento total)</t>
        </is>
      </c>
      <c r="B5" s="8" t="n">
        <v>32225</v>
      </c>
      <c r="C5" s="4" t="inlineStr"/>
      <c r="D5" s="4" t="inlineStr"/>
    </row>
    <row r="6">
      <c r="A6" s="4" t="inlineStr">
        <is>
          <t>Ganho anual estimado</t>
        </is>
      </c>
      <c r="B6" s="8" t="n">
        <v>24000</v>
      </c>
      <c r="C6" s="4" t="inlineStr"/>
      <c r="D6" s="4" t="inlineStr"/>
    </row>
    <row r="7">
      <c r="A7" s="4" t="inlineStr">
        <is>
          <t>Custo operacional anual (pós-projeto)</t>
        </is>
      </c>
      <c r="B7" s="8" t="n">
        <v>3600</v>
      </c>
      <c r="C7" s="4" t="inlineStr"/>
      <c r="D7" s="4" t="inlineStr"/>
    </row>
    <row r="8">
      <c r="A8" s="9" t="inlineStr">
        <is>
          <t>Ganho líquido anual</t>
        </is>
      </c>
      <c r="B8" s="11">
        <f>B6-B7</f>
        <v/>
      </c>
      <c r="C8" s="9" t="inlineStr"/>
      <c r="D8" s="9" t="inlineStr"/>
    </row>
    <row r="9">
      <c r="A9" s="4" t="inlineStr">
        <is>
          <t>Taxa de desconto (custo de capital)</t>
        </is>
      </c>
      <c r="B9" s="13" t="n">
        <v>0.12</v>
      </c>
      <c r="C9" s="4" t="inlineStr"/>
      <c r="D9" s="4" t="inlineStr"/>
    </row>
    <row r="11" ht="20" customHeight="1">
      <c r="A11" s="2" t="inlineStr">
        <is>
          <t>Fluxo de caixa do projeto (base para VPL e TIR)</t>
        </is>
      </c>
    </row>
    <row r="12">
      <c r="A12" s="3" t="inlineStr">
        <is>
          <t>Ano</t>
        </is>
      </c>
      <c r="B12" s="3" t="inlineStr">
        <is>
          <t>Fluxo (R$)</t>
        </is>
      </c>
      <c r="C12" s="14" t="n"/>
      <c r="D12" s="5" t="n"/>
    </row>
    <row r="13">
      <c r="A13" s="4" t="inlineStr">
        <is>
          <t>Ano 0 (investimento)</t>
        </is>
      </c>
      <c r="B13" s="8">
        <f>-B5</f>
        <v/>
      </c>
      <c r="C13" s="4" t="inlineStr"/>
      <c r="D13" s="4" t="inlineStr"/>
    </row>
    <row r="14">
      <c r="A14" s="4" t="inlineStr">
        <is>
          <t>Ano 1</t>
        </is>
      </c>
      <c r="B14" s="8">
        <f>B8</f>
        <v/>
      </c>
      <c r="C14" s="4" t="inlineStr"/>
      <c r="D14" s="4" t="inlineStr"/>
    </row>
    <row r="15">
      <c r="A15" s="4" t="inlineStr">
        <is>
          <t>Ano 2</t>
        </is>
      </c>
      <c r="B15" s="8">
        <f>B8</f>
        <v/>
      </c>
      <c r="C15" s="4" t="inlineStr"/>
      <c r="D15" s="4" t="inlineStr"/>
    </row>
    <row r="16">
      <c r="A16" s="4" t="inlineStr">
        <is>
          <t>Ano 3</t>
        </is>
      </c>
      <c r="B16" s="8">
        <f>B8</f>
        <v/>
      </c>
      <c r="C16" s="4" t="inlineStr"/>
      <c r="D16" s="4" t="inlineStr"/>
    </row>
    <row r="18" ht="20" customHeight="1">
      <c r="A18" s="2" t="inlineStr">
        <is>
          <t>Métricas de retorno (calculadas)</t>
        </is>
      </c>
    </row>
    <row r="19">
      <c r="A19" s="3" t="inlineStr">
        <is>
          <t>Métrica</t>
        </is>
      </c>
      <c r="B19" s="3" t="inlineStr">
        <is>
          <t>Fórmula</t>
        </is>
      </c>
      <c r="C19" s="3" t="inlineStr">
        <is>
          <t>Resultado</t>
        </is>
      </c>
      <c r="D19" s="3" t="inlineStr">
        <is>
          <t>Leitura</t>
        </is>
      </c>
    </row>
    <row r="20">
      <c r="A20" s="4" t="inlineStr">
        <is>
          <t>Payback (anos)</t>
        </is>
      </c>
      <c r="B20" s="4" t="inlineStr">
        <is>
          <t>Investimento / ganho líquido</t>
        </is>
      </c>
      <c r="C20" s="7">
        <f>B5/B8</f>
        <v/>
      </c>
      <c r="D20" s="4" t="inlineStr">
        <is>
          <t>Abaixo de 2 anos</t>
        </is>
      </c>
    </row>
    <row r="21">
      <c r="A21" s="4" t="inlineStr">
        <is>
          <t>VPL (3 anos)</t>
        </is>
      </c>
      <c r="B21" s="4" t="inlineStr">
        <is>
          <t>-Inv + VP dos fluxos</t>
        </is>
      </c>
      <c r="C21" s="8">
        <f>B13+NPV(B9,B14:B16)</f>
        <v/>
      </c>
      <c r="D21" s="4" t="inlineStr">
        <is>
          <t>Positivo = cria valor</t>
        </is>
      </c>
    </row>
    <row r="22">
      <c r="A22" s="4" t="inlineStr">
        <is>
          <t>TIR (3 anos)</t>
        </is>
      </c>
      <c r="B22" s="4" t="inlineStr">
        <is>
          <t>Taxa que zera o VPL</t>
        </is>
      </c>
      <c r="C22" s="13">
        <f>IRR(B13:B16)</f>
        <v/>
      </c>
      <c r="D22" s="4" t="inlineStr">
        <is>
          <t>Supera com folga os 12%</t>
        </is>
      </c>
    </row>
    <row r="23">
      <c r="A23" s="4" t="inlineStr">
        <is>
          <t>ROI (3 anos)</t>
        </is>
      </c>
      <c r="B23" s="4" t="inlineStr">
        <is>
          <t>(3 x líquido - Inv) / Inv</t>
        </is>
      </c>
      <c r="C23" s="13">
        <f>(3*B8-B5)/B5</f>
        <v/>
      </c>
      <c r="D23" s="4" t="inlineStr">
        <is>
          <t>Maior é melhor</t>
        </is>
      </c>
    </row>
    <row r="25" ht="20" customHeight="1">
      <c r="A25" s="2" t="inlineStr">
        <is>
          <t>Sensibilidade — ganho anual 30% menor</t>
        </is>
      </c>
    </row>
    <row r="26">
      <c r="A26" s="3" t="inlineStr">
        <is>
          <t>Item</t>
        </is>
      </c>
      <c r="B26" s="3" t="inlineStr">
        <is>
          <t>Valor</t>
        </is>
      </c>
      <c r="C26" s="14" t="n"/>
      <c r="D26" s="5" t="n"/>
    </row>
    <row r="27">
      <c r="A27" s="4" t="inlineStr">
        <is>
          <t>Ganho anual (-30%)</t>
        </is>
      </c>
      <c r="B27" s="8">
        <f>B6*0.7</f>
        <v/>
      </c>
      <c r="C27" s="4" t="inlineStr"/>
      <c r="D27" s="4" t="inlineStr"/>
    </row>
    <row r="28">
      <c r="A28" s="4" t="inlineStr">
        <is>
          <t>Ganho líquido anual</t>
        </is>
      </c>
      <c r="B28" s="8">
        <f>B27-B7</f>
        <v/>
      </c>
      <c r="C28" s="4" t="inlineStr"/>
      <c r="D28" s="4" t="inlineStr"/>
    </row>
    <row r="29">
      <c r="A29" s="4" t="inlineStr">
        <is>
          <t>Payback (anos)</t>
        </is>
      </c>
      <c r="B29" s="7">
        <f>B5/B28</f>
        <v/>
      </c>
      <c r="C29" s="4" t="inlineStr"/>
      <c r="D29" s="4" t="inlineStr"/>
    </row>
    <row r="30">
      <c r="A30" s="4" t="inlineStr">
        <is>
          <t>VPL (3 anos)</t>
        </is>
      </c>
      <c r="B30" s="8">
        <f>-B5+NPV(B9,B28,B28,B28)</f>
        <v/>
      </c>
      <c r="C30" s="4" t="inlineStr"/>
      <c r="D30" s="4" t="inlineStr"/>
    </row>
    <row r="31" ht="30" customHeight="1">
      <c r="A31" s="12" t="inlineStr">
        <is>
          <t>No cenário pessimista o payback fica em torno de 2,4 anos (ainda dentro do horizonte) e o VPL de 3 anos fica no limiar — levemente negativo (~ -R$ 520) —, voltando a positivo num horizonte de 4 anos. A decisão de investir se sustenta, com margem mais estreita.</t>
        </is>
      </c>
    </row>
    <row r="33" ht="20" customHeight="1">
      <c r="A33" s="2" t="inlineStr">
        <is>
          <t>Valor intangível (não cabe na planilha, mas conta)</t>
        </is>
      </c>
    </row>
    <row r="34">
      <c r="A34" s="15" t="inlineStr">
        <is>
          <t>•  Conformidade regulatória (LGPD) — obrigatório, não negociável</t>
        </is>
      </c>
    </row>
    <row r="35">
      <c r="A35" s="15" t="inlineStr">
        <is>
          <t>•  Segurança de veículos e motoristas</t>
        </is>
      </c>
    </row>
    <row r="36">
      <c r="A36" s="15" t="inlineStr">
        <is>
          <t>•  Decisão baseada em dados reais (valor esperado do Termo de Abertura)</t>
        </is>
      </c>
    </row>
    <row r="37">
      <c r="A37" s="15" t="inlineStr">
        <is>
          <t>•  Satisfação do cliente — solução acessível a um segmento mal atendido</t>
        </is>
      </c>
    </row>
    <row r="38">
      <c r="A38" s="15" t="inlineStr">
        <is>
          <t>•  Aprendizado da dupla — PMBOK 8 aplicado de ponta a ponta</t>
        </is>
      </c>
    </row>
  </sheetData>
  <mergeCells count="15">
    <mergeCell ref="A1:D1"/>
    <mergeCell ref="A37:D37"/>
    <mergeCell ref="A18:D18"/>
    <mergeCell ref="A31:D31"/>
    <mergeCell ref="A34:D34"/>
    <mergeCell ref="A35:D35"/>
    <mergeCell ref="A3:D3"/>
    <mergeCell ref="B4:D4"/>
    <mergeCell ref="A38:D38"/>
    <mergeCell ref="B26:D26"/>
    <mergeCell ref="A25:D25"/>
    <mergeCell ref="A33:D33"/>
    <mergeCell ref="A11:D11"/>
    <mergeCell ref="B12:D12"/>
    <mergeCell ref="A36:D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52" customWidth="1" min="3" max="3"/>
  </cols>
  <sheetData>
    <row r="1" ht="26" customHeight="1">
      <c r="A1" s="1" t="inlineStr">
        <is>
          <t>6. MEDIR — Valor Agregado (EVM): valores-base, variações, índices e previsões</t>
        </is>
      </c>
    </row>
    <row r="3" ht="20" customHeight="1">
      <c r="A3" s="2" t="inlineStr">
        <is>
          <t>Os quatro valores-base</t>
        </is>
      </c>
    </row>
    <row r="4">
      <c r="A4" s="3" t="inlineStr">
        <is>
          <t>Sigla</t>
        </is>
      </c>
      <c r="B4" s="3" t="inlineStr">
        <is>
          <t>Nome</t>
        </is>
      </c>
      <c r="C4" s="3" t="inlineStr">
        <is>
          <t>O que é no TrackFleet</t>
        </is>
      </c>
    </row>
    <row r="5" ht="26" customHeight="1">
      <c r="A5" s="4" t="inlineStr">
        <is>
          <t>BAC</t>
        </is>
      </c>
      <c r="B5" s="4" t="inlineStr">
        <is>
          <t>Orçamento no término</t>
        </is>
      </c>
      <c r="C5" s="4" t="inlineStr">
        <is>
          <t>A linha de base de custos: R$ 30.690 (aba Orçar).</t>
        </is>
      </c>
    </row>
    <row r="6" ht="26" customHeight="1">
      <c r="A6" s="4" t="inlineStr">
        <is>
          <t>PV</t>
        </is>
      </c>
      <c r="B6" s="4" t="inlineStr">
        <is>
          <t>Valor Planejado</t>
        </is>
      </c>
      <c r="C6" s="4" t="inlineStr">
        <is>
          <t>Custo orçado do trabalho programado até a data (a curva S).</t>
        </is>
      </c>
    </row>
    <row r="7" ht="26" customHeight="1">
      <c r="A7" s="4" t="inlineStr">
        <is>
          <t>EV</t>
        </is>
      </c>
      <c r="B7" s="4" t="inlineStr">
        <is>
          <t>Valor Agregado</t>
        </is>
      </c>
      <c r="C7" s="4" t="inlineStr">
        <is>
          <t>Custo orçado do trabalho realmente concluído: BAC x % concluído.</t>
        </is>
      </c>
    </row>
    <row r="8" ht="26" customHeight="1">
      <c r="A8" s="4" t="inlineStr">
        <is>
          <t>AC</t>
        </is>
      </c>
      <c r="B8" s="4" t="inlineStr">
        <is>
          <t>Custo Real</t>
        </is>
      </c>
      <c r="C8" s="4" t="inlineStr">
        <is>
          <t>O que de fato saiu do bolso para entregar esse trabalho.</t>
        </is>
      </c>
    </row>
    <row r="10" ht="20" customHeight="1">
      <c r="A10" s="2" t="inlineStr">
        <is>
          <t>Variações, índices e previsões</t>
        </is>
      </c>
    </row>
    <row r="11">
      <c r="A11" s="3" t="inlineStr">
        <is>
          <t>Indicador</t>
        </is>
      </c>
      <c r="B11" s="3" t="inlineStr">
        <is>
          <t>Fórmula</t>
        </is>
      </c>
      <c r="C11" s="3" t="inlineStr">
        <is>
          <t>Leitura</t>
        </is>
      </c>
    </row>
    <row r="12" ht="24" customHeight="1">
      <c r="A12" s="4" t="inlineStr">
        <is>
          <t>CV — Variação de Custo</t>
        </is>
      </c>
      <c r="B12" s="4" t="inlineStr">
        <is>
          <t>EV - AC</t>
        </is>
      </c>
      <c r="C12" s="4" t="inlineStr">
        <is>
          <t>Positivo: abaixo do orçamento. Negativo: acima.</t>
        </is>
      </c>
    </row>
    <row r="13" ht="24" customHeight="1">
      <c r="A13" s="4" t="inlineStr">
        <is>
          <t>SV — Variação de Prazo</t>
        </is>
      </c>
      <c r="B13" s="4" t="inlineStr">
        <is>
          <t>EV - PV</t>
        </is>
      </c>
      <c r="C13" s="4" t="inlineStr">
        <is>
          <t>Positivo: adiantado. Negativo: atrasado.</t>
        </is>
      </c>
    </row>
    <row r="14" ht="24" customHeight="1">
      <c r="A14" s="4" t="inlineStr">
        <is>
          <t>CPI — Índice de Custo</t>
        </is>
      </c>
      <c r="B14" s="4" t="inlineStr">
        <is>
          <t>EV / AC</t>
        </is>
      </c>
      <c r="C14" s="4" t="inlineStr">
        <is>
          <t>Acima de 1,0 é bom; abaixo é ruim.</t>
        </is>
      </c>
    </row>
    <row r="15" ht="24" customHeight="1">
      <c r="A15" s="4" t="inlineStr">
        <is>
          <t>SPI — Índice de Prazo</t>
        </is>
      </c>
      <c r="B15" s="4" t="inlineStr">
        <is>
          <t>EV / PV</t>
        </is>
      </c>
      <c r="C15" s="4" t="inlineStr">
        <is>
          <t>Acima de 1,0 é bom; abaixo é ruim.</t>
        </is>
      </c>
    </row>
    <row r="16" ht="24" customHeight="1">
      <c r="A16" s="4" t="inlineStr">
        <is>
          <t>EAC — Estimativa no Término</t>
        </is>
      </c>
      <c r="B16" s="4" t="inlineStr">
        <is>
          <t>BAC / CPI</t>
        </is>
      </c>
      <c r="C16" s="4" t="inlineStr">
        <is>
          <t>Custo final previsto se a tendência continuar.</t>
        </is>
      </c>
    </row>
    <row r="17" ht="24" customHeight="1">
      <c r="A17" s="4" t="inlineStr">
        <is>
          <t>ETC — Estimativa para Terminar</t>
        </is>
      </c>
      <c r="B17" s="4" t="inlineStr">
        <is>
          <t>EAC - AC</t>
        </is>
      </c>
      <c r="C17" s="4" t="inlineStr">
        <is>
          <t>Quanto ainda falta gastar.</t>
        </is>
      </c>
    </row>
    <row r="18" ht="24" customHeight="1">
      <c r="A18" s="4" t="inlineStr">
        <is>
          <t>VAC — Variação no Término</t>
        </is>
      </c>
      <c r="B18" s="4" t="inlineStr">
        <is>
          <t>BAC - EAC</t>
        </is>
      </c>
      <c r="C18" s="4" t="inlineStr">
        <is>
          <t>Negativo: termina acima da linha de base.</t>
        </is>
      </c>
    </row>
    <row r="19" ht="24" customHeight="1">
      <c r="A19" s="4" t="inlineStr">
        <is>
          <t>TCPI — Índice para Terminar</t>
        </is>
      </c>
      <c r="B19" s="4" t="inlineStr">
        <is>
          <t>(BAC - EV) / (BAC - AC)</t>
        </is>
      </c>
      <c r="C19" s="4" t="inlineStr">
        <is>
          <t>Eficiência exigida do trabalho restante; acima de 1,0 é difícil.</t>
        </is>
      </c>
    </row>
    <row r="21" ht="30" customHeight="1">
      <c r="A21" s="12" t="inlineStr">
        <is>
          <t>Regras da aula: termina em 'Variação' subtrai; termina em 'Índice' divide. SV e SPI medem prazo, mas em unidades de dinheiro (o valor em R$ do trabalho), nunca em dias.</t>
        </is>
      </c>
    </row>
  </sheetData>
  <mergeCells count="4">
    <mergeCell ref="A1:C1"/>
    <mergeCell ref="A3:C3"/>
    <mergeCell ref="A21:C21"/>
    <mergeCell ref="A10:C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 ht="26" customHeight="1">
      <c r="A1" s="1" t="inlineStr">
        <is>
          <t>7. CONTROLAR CUSTOS — Exemplo resolvido (check-in do fim da Semana 6) e armadilhas</t>
        </is>
      </c>
    </row>
    <row r="3" ht="20" customHeight="1">
      <c r="A3" s="2" t="inlineStr">
        <is>
          <t>Entradas do check-in (edite estes valores — o restante recalcula)</t>
        </is>
      </c>
    </row>
    <row r="4">
      <c r="A4" s="3" t="inlineStr">
        <is>
          <t>Parâmetro</t>
        </is>
      </c>
      <c r="B4" s="3" t="inlineStr">
        <is>
          <t>Valor</t>
        </is>
      </c>
      <c r="C4" s="3" t="inlineStr">
        <is>
          <t>Observação</t>
        </is>
      </c>
    </row>
    <row r="5">
      <c r="A5" s="4" t="inlineStr">
        <is>
          <t>BAC — linha de base de custos</t>
        </is>
      </c>
      <c r="B5" s="8" t="n">
        <v>30690</v>
      </c>
      <c r="C5" s="4" t="inlineStr">
        <is>
          <t>Da aba Orçar</t>
        </is>
      </c>
    </row>
    <row r="6">
      <c r="A6" s="4" t="inlineStr">
        <is>
          <t>% planejado até o corte</t>
        </is>
      </c>
      <c r="B6" s="13" t="n">
        <v>0.6</v>
      </c>
      <c r="C6" s="4" t="inlineStr">
        <is>
          <t>Curva S no fim da S6</t>
        </is>
      </c>
    </row>
    <row r="7">
      <c r="A7" s="4" t="inlineStr">
        <is>
          <t>% realmente concluído</t>
        </is>
      </c>
      <c r="B7" s="13" t="n">
        <v>0.55</v>
      </c>
      <c r="C7" s="4" t="inlineStr">
        <is>
          <t>Medido no check-in</t>
        </is>
      </c>
    </row>
    <row r="8">
      <c r="A8" s="4" t="inlineStr">
        <is>
          <t>Custo real acumulado (AC)</t>
        </is>
      </c>
      <c r="B8" s="8" t="n">
        <v>17600</v>
      </c>
      <c r="C8" s="4" t="inlineStr">
        <is>
          <t>Medido no check-in</t>
        </is>
      </c>
    </row>
    <row r="10" ht="20" customHeight="1">
      <c r="A10" s="2" t="inlineStr">
        <is>
          <t>Resultados calculados</t>
        </is>
      </c>
    </row>
    <row r="11">
      <c r="A11" s="3" t="inlineStr">
        <is>
          <t>Indicador</t>
        </is>
      </c>
      <c r="B11" s="3" t="inlineStr">
        <is>
          <t>Resultado</t>
        </is>
      </c>
      <c r="C11" s="3" t="inlineStr">
        <is>
          <t>Fórmula aplicada</t>
        </is>
      </c>
    </row>
    <row r="12">
      <c r="A12" s="4" t="inlineStr">
        <is>
          <t>PV — Valor Planejado</t>
        </is>
      </c>
      <c r="B12" s="8">
        <f>B5*B6</f>
        <v/>
      </c>
      <c r="C12" s="4" t="inlineStr">
        <is>
          <t>BAC x % planejado</t>
        </is>
      </c>
    </row>
    <row r="13">
      <c r="A13" s="4" t="inlineStr">
        <is>
          <t>EV — Valor Agregado</t>
        </is>
      </c>
      <c r="B13" s="8">
        <f>B5*B7</f>
        <v/>
      </c>
      <c r="C13" s="4" t="inlineStr">
        <is>
          <t>BAC x % concluído</t>
        </is>
      </c>
    </row>
    <row r="14">
      <c r="A14" s="4" t="inlineStr">
        <is>
          <t>AC — Custo Real</t>
        </is>
      </c>
      <c r="B14" s="8">
        <f>B8</f>
        <v/>
      </c>
      <c r="C14" s="4" t="inlineStr">
        <is>
          <t>medido</t>
        </is>
      </c>
    </row>
    <row r="15">
      <c r="A15" s="4" t="inlineStr">
        <is>
          <t>CV — Variação de Custo</t>
        </is>
      </c>
      <c r="B15" s="8">
        <f>B13-B8</f>
        <v/>
      </c>
      <c r="C15" s="4" t="inlineStr">
        <is>
          <t>EV - AC</t>
        </is>
      </c>
    </row>
    <row r="16">
      <c r="A16" s="4" t="inlineStr">
        <is>
          <t>SV — Variação de Prazo</t>
        </is>
      </c>
      <c r="B16" s="8">
        <f>B13-B12</f>
        <v/>
      </c>
      <c r="C16" s="4" t="inlineStr">
        <is>
          <t>EV - PV</t>
        </is>
      </c>
    </row>
    <row r="17">
      <c r="A17" s="4" t="inlineStr">
        <is>
          <t>CPI — Índice de Custo</t>
        </is>
      </c>
      <c r="B17" s="7">
        <f>B13/B8</f>
        <v/>
      </c>
      <c r="C17" s="4" t="inlineStr">
        <is>
          <t>EV / AC</t>
        </is>
      </c>
    </row>
    <row r="18">
      <c r="A18" s="4" t="inlineStr">
        <is>
          <t>SPI — Índice de Prazo</t>
        </is>
      </c>
      <c r="B18" s="7">
        <f>B13/B12</f>
        <v/>
      </c>
      <c r="C18" s="4" t="inlineStr">
        <is>
          <t>EV / PV</t>
        </is>
      </c>
    </row>
    <row r="19">
      <c r="A19" s="4" t="inlineStr">
        <is>
          <t>EAC — Estimativa no Término</t>
        </is>
      </c>
      <c r="B19" s="8">
        <f>B5/B17</f>
        <v/>
      </c>
      <c r="C19" s="4" t="inlineStr">
        <is>
          <t>BAC / CPI</t>
        </is>
      </c>
    </row>
    <row r="20">
      <c r="A20" s="4" t="inlineStr">
        <is>
          <t>ETC — Estimativa para Terminar</t>
        </is>
      </c>
      <c r="B20" s="8">
        <f>B19-B8</f>
        <v/>
      </c>
      <c r="C20" s="4" t="inlineStr">
        <is>
          <t>EAC - AC</t>
        </is>
      </c>
    </row>
    <row r="21">
      <c r="A21" s="4" t="inlineStr">
        <is>
          <t>VAC — Variação no Término</t>
        </is>
      </c>
      <c r="B21" s="8">
        <f>B5-B19</f>
        <v/>
      </c>
      <c r="C21" s="4" t="inlineStr">
        <is>
          <t>BAC - EAC</t>
        </is>
      </c>
    </row>
    <row r="22">
      <c r="A22" s="4" t="inlineStr">
        <is>
          <t>TCPI — Índice para Terminar</t>
        </is>
      </c>
      <c r="B22" s="7">
        <f>(B5-B13)/(B5-B8)</f>
        <v/>
      </c>
      <c r="C22" s="4" t="inlineStr">
        <is>
          <t>(BAC - EV)/(BAC - AC)</t>
        </is>
      </c>
    </row>
    <row r="24" ht="20" customHeight="1">
      <c r="A24" s="2" t="inlineStr">
        <is>
          <t>Veredito e decisão</t>
        </is>
      </c>
    </row>
    <row r="25" ht="96" customHeight="1">
      <c r="A25" s="15" t="inlineStr">
        <is>
          <t>No ritmo atual o projeto está levemente acima do orçamento (CPI ~0,96) e atrasado (SPI ~0,92). A projeção de término (EAC ~R$ 32.002) fura a linha de base em ~R$ 1.312, consumindo quase toda a reserva de gerenciamento (R$ 1.535). Pela tolerância definida na aba Planejar, ainda não é escalonamento imediato, mas dispara revisão formal e coloca o patrocinador em alerta. A ação corretiva se concentra no maior risco do caminho crítico — o Motor de alertas (atividade A8 do Cronograma). O TCPI ~1,06 exige o trabalho restante ~6% mais eficiente que o planejado. A decisão olha a TENDÊNCIA do CPI ao longo dos check-ins, não a foto de uma semana.</t>
        </is>
      </c>
    </row>
    <row r="27" ht="20" customHeight="1">
      <c r="A27" s="2" t="inlineStr">
        <is>
          <t>Armadilhas financeiras e como o TrackFleet as evita</t>
        </is>
      </c>
    </row>
    <row r="28">
      <c r="A28" s="3" t="inlineStr">
        <is>
          <t>Armadilha</t>
        </is>
      </c>
      <c r="B28" s="3" t="inlineStr">
        <is>
          <t>Como o TrackFleet evita</t>
        </is>
      </c>
      <c r="C28" s="5" t="n"/>
    </row>
    <row r="29" ht="30" customHeight="1">
      <c r="A29" s="4" t="inlineStr">
        <is>
          <t>Confundir linha de base com orçamento</t>
        </is>
      </c>
      <c r="B29" s="4" t="inlineStr">
        <is>
          <t>A reserva de gerenciamento fica fora da linha de base; o EVM compara sempre contra o BAC, nunca contra o orçamento total.</t>
        </is>
      </c>
      <c r="C29" s="6" t="n"/>
    </row>
    <row r="30" ht="30" customHeight="1">
      <c r="A30" s="4" t="inlineStr">
        <is>
          <t>Trocar índice por variação</t>
        </is>
      </c>
      <c r="B30" s="4" t="inlineStr">
        <is>
          <t>Termina em 'Índice' divide; termina em 'Variação' subtrai. SV/SPI em reais, não em dias.</t>
        </is>
      </c>
      <c r="C30" s="6" t="n"/>
    </row>
    <row r="31" ht="30" customHeight="1">
      <c r="A31" s="4" t="inlineStr">
        <is>
          <t>Inverter a leitura do TCPI</t>
        </is>
      </c>
      <c r="B31" s="4" t="inlineStr">
        <is>
          <t>Para CPI/SPI, &lt;1 é ruim; para o TCPI, &gt;1 é o difícil (trabalho restante mais eficiente).</t>
        </is>
      </c>
      <c r="C31" s="6" t="n"/>
    </row>
    <row r="32" ht="30" customHeight="1">
      <c r="A32" s="4" t="inlineStr">
        <is>
          <t>Achar que orçamento cumprido é sucesso</t>
        </is>
      </c>
      <c r="B32" s="4" t="inlineStr">
        <is>
          <t>O documento mede também o valor entregue (ROI, VPL, TIR, payback) na aba Gerenciar.</t>
        </is>
      </c>
      <c r="C32" s="6" t="n"/>
    </row>
    <row r="33" ht="30" customHeight="1">
      <c r="A33" s="4" t="inlineStr">
        <is>
          <t>Começar o EVM tarde demais</t>
        </is>
      </c>
      <c r="B33" s="4" t="inlineStr">
        <is>
          <t>A medição começa no dia 1, no mesmo check-in semanal, com a janela de intervenção aberta.</t>
        </is>
      </c>
      <c r="C33" s="6" t="n"/>
    </row>
    <row r="34" ht="30" customHeight="1">
      <c r="A34" s="4" t="inlineStr">
        <is>
          <t>Relatório sem narrativa</t>
        </is>
      </c>
      <c r="B34" s="4" t="inlineStr">
        <is>
          <t>Cada indicador vem com a decisão que dispara — dado sem decisão não é controle.</t>
        </is>
      </c>
      <c r="C34" s="6" t="n"/>
    </row>
    <row r="35" ht="30" customHeight="1">
      <c r="A35" s="4" t="inlineStr">
        <is>
          <t>Escolher o EAC errado</t>
        </is>
      </c>
      <c r="B35" s="4" t="inlineStr">
        <is>
          <t>Como o desvio é variação típica, EAC = BAC / CPI (e não a fórmula de evento único).</t>
        </is>
      </c>
      <c r="C35" s="6" t="n"/>
    </row>
  </sheetData>
  <mergeCells count="14">
    <mergeCell ref="A10:C10"/>
    <mergeCell ref="A25:C25"/>
    <mergeCell ref="B30:C30"/>
    <mergeCell ref="B29:C29"/>
    <mergeCell ref="B33:C33"/>
    <mergeCell ref="A1:C1"/>
    <mergeCell ref="B34:C34"/>
    <mergeCell ref="B28:C28"/>
    <mergeCell ref="A27:C27"/>
    <mergeCell ref="A3:C3"/>
    <mergeCell ref="B32:C32"/>
    <mergeCell ref="B31:C31"/>
    <mergeCell ref="B35:C35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2026-09-04T21:42:04Z</dcterms:created>
  <dcterms:modified xsi:type="dcterms:W3CDTF">2026-09-04T21:42:04Z</dcterms:modified>
</cp:coreProperties>
</file>