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ejar" sheetId="1" state="visible" r:id="rId1"/>
    <sheet name="Estimar" sheetId="2" state="visible" r:id="rId2"/>
    <sheet name="Riscos" sheetId="3" state="visible" r:id="rId3"/>
    <sheet name="Orçar" sheetId="4" state="visible" r:id="rId4"/>
    <sheet name="Financiar" sheetId="5" state="visible" r:id="rId5"/>
    <sheet name="Gerenciar" sheetId="6" state="visible" r:id="rId6"/>
    <sheet name="Medir" sheetId="7" state="visible" r:id="rId7"/>
    <sheet name="Controlar cust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"/>
    <numFmt numFmtId="165" formatCode="R$ #,##0;-R$ #,##0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1F1F1F"/>
      <sz val="11"/>
    </font>
    <font>
      <b val="1"/>
      <color rgb="001F1F1F"/>
    </font>
    <font>
      <color rgb="001F1F1F"/>
    </font>
    <font>
      <i val="1"/>
      <color rgb="00404040"/>
    </font>
  </fonts>
  <fills count="6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F2F2F2"/>
      </patternFill>
    </fill>
    <fill>
      <patternFill patternType="solid">
        <fgColor rgb="00E8E8E8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1" pivotButton="0" quotePrefix="0" xfId="0"/>
    <xf numFmtId="4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5" borderId="1" applyAlignment="1" pivotButton="0" quotePrefix="0" xfId="0">
      <alignment vertical="top" wrapText="1"/>
    </xf>
    <xf numFmtId="4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  <xf numFmtId="9" fontId="4" fillId="0" borderId="1" applyAlignment="1" pivotButton="0" quotePrefix="0" xfId="0">
      <alignment horizontal="right" vertical="center"/>
    </xf>
    <xf numFmtId="0" fontId="0" fillId="0" borderId="5" pivotButton="0" quotePrefix="0" xfId="0"/>
    <xf numFmtId="0" fontId="4" fillId="0" borderId="0" applyAlignment="1" pivotButton="0" quotePrefix="0" xfId="0">
      <alignment vertical="top" wrapText="1"/>
    </xf>
    <xf numFmtId="2" fontId="4" fillId="0" borderId="1" applyAlignment="1" pivotButton="0" quotePrefix="0" xfId="0">
      <alignment horizontal="right" vertical="center"/>
    </xf>
    <xf numFmtId="2" fontId="3" fillId="5" borderId="1" applyAlignment="1" pivotButton="0" quotePrefix="0" xfId="0">
      <alignment horizontal="right" vertical="center"/>
    </xf>
    <xf numFmtId="9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5" fontId="3" fillId="5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6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2" customWidth="1" min="3" max="3"/>
  </cols>
  <sheetData>
    <row r="1" ht="26" customHeight="1">
      <c r="A1" s="1" t="inlineStr">
        <is>
          <t>1. PLANEJAR O GERENCIAMENTO FINANCEIRO — Manual de regras do dinheiro do TrackFleet</t>
        </is>
      </c>
    </row>
    <row r="3" ht="20" customHeight="1">
      <c r="A3" s="2" t="inlineStr">
        <is>
          <t>Bases de referência</t>
        </is>
      </c>
    </row>
    <row r="4">
      <c r="A4" s="3" t="inlineStr">
        <is>
          <t>Item</t>
        </is>
      </c>
      <c r="B4" s="3" t="inlineStr">
        <is>
          <t>Valor</t>
        </is>
      </c>
      <c r="C4" s="3" t="inlineStr">
        <is>
          <t>Observação</t>
        </is>
      </c>
    </row>
    <row r="5" ht="30" customHeight="1">
      <c r="A5" s="4" t="inlineStr">
        <is>
          <t>Moeda</t>
        </is>
      </c>
      <c r="B5" s="4" t="inlineStr">
        <is>
          <t>R$ (BRL)</t>
        </is>
      </c>
      <c r="C5" s="4" t="inlineStr">
        <is>
          <t>Todos os valores deste modelo em reais correntes.</t>
        </is>
      </c>
    </row>
    <row r="6" ht="30" customHeight="1">
      <c r="A6" s="4" t="inlineStr">
        <is>
          <t>Custo-hora de referência</t>
        </is>
      </c>
      <c r="B6" s="4" t="inlineStr">
        <is>
          <t>R$ 50,00</t>
        </is>
      </c>
      <c r="C6" s="4" t="inlineStr">
        <is>
          <t>Custo de oportunidade da hora de GP (dev júnior de mercado); o projeto não paga salário, mas contabiliza o tempo.</t>
        </is>
      </c>
    </row>
    <row r="7" ht="30" customHeight="1">
      <c r="A7" s="4" t="inlineStr">
        <is>
          <t>Dia útil de trabalho</t>
        </is>
      </c>
      <c r="B7" s="4" t="inlineStr">
        <is>
          <t>6 horas produtivas</t>
        </is>
      </c>
      <c r="C7" s="4" t="inlineStr">
        <is>
          <t>Base para converter dias do Cronograma em reais.</t>
        </is>
      </c>
    </row>
    <row r="8" ht="30" customHeight="1">
      <c r="A8" s="4" t="inlineStr">
        <is>
          <t>Dia-pessoa (R$)</t>
        </is>
      </c>
      <c r="B8" s="4" t="inlineStr">
        <is>
          <t>R$ 300,00</t>
        </is>
      </c>
      <c r="C8" s="4" t="inlineStr">
        <is>
          <t>Igual a 50 x 6. Ponte entre o Cronograma (dias) e as Finanças (reais).</t>
        </is>
      </c>
    </row>
    <row r="9" ht="30" customHeight="1">
      <c r="A9" s="4" t="inlineStr">
        <is>
          <t>Cadência de medição</t>
        </is>
      </c>
      <c r="B9" s="4" t="inlineStr">
        <is>
          <t>Check-in semanal</t>
        </is>
      </c>
      <c r="C9" s="4" t="inlineStr">
        <is>
          <t>Mesma cadência da Governança e do Cronograma — sem reunião financeira à parte.</t>
        </is>
      </c>
    </row>
    <row r="11" ht="20" customHeight="1">
      <c r="A11" s="2" t="inlineStr">
        <is>
          <t>Governança financeira (quem aprova o quê)</t>
        </is>
      </c>
    </row>
    <row r="12">
      <c r="A12" s="3" t="inlineStr">
        <is>
          <t>Decisão</t>
        </is>
      </c>
      <c r="B12" s="3" t="inlineStr">
        <is>
          <t>Quem aprova</t>
        </is>
      </c>
      <c r="C12" s="3" t="inlineStr">
        <is>
          <t>Registro</t>
        </is>
      </c>
    </row>
    <row r="13" ht="26" customHeight="1">
      <c r="A13" s="4" t="inlineStr">
        <is>
          <t>Gasto do dia a dia (dentro da linha de base)</t>
        </is>
      </c>
      <c r="B13" s="4" t="inlineStr">
        <is>
          <t>Dois GPs por consenso</t>
        </is>
      </c>
      <c r="C13" s="4" t="inlineStr">
        <is>
          <t>—</t>
        </is>
      </c>
    </row>
    <row r="14" ht="26" customHeight="1">
      <c r="A14" s="4" t="inlineStr">
        <is>
          <t>Uso da reserva de contingência</t>
        </is>
      </c>
      <c r="B14" s="4" t="inlineStr">
        <is>
          <t>Dois GPs (é para riscos conhecidos do registro de riscos)</t>
        </is>
      </c>
      <c r="C14" s="4" t="inlineStr">
        <is>
          <t>Log de decisões do projeto</t>
        </is>
      </c>
    </row>
    <row r="15" ht="26" customHeight="1">
      <c r="A15" s="4" t="inlineStr">
        <is>
          <t>Liberação da reserva de gerenciamento</t>
        </is>
      </c>
      <c r="B15" s="4" t="inlineStr">
        <is>
          <t>Patrocinador (Diretoria da transportadora)</t>
        </is>
      </c>
      <c r="C15" s="4" t="inlineStr">
        <is>
          <t>Escalonamento formal (Governança)</t>
        </is>
      </c>
    </row>
    <row r="17" ht="20" customHeight="1">
      <c r="A17" s="2" t="inlineStr">
        <is>
          <t>Tolerâncias — o que transforma um número em ação</t>
        </is>
      </c>
    </row>
    <row r="18">
      <c r="A18" s="3" t="inlineStr">
        <is>
          <t>Gatilho</t>
        </is>
      </c>
      <c r="B18" s="3" t="inlineStr">
        <is>
          <t>Ação</t>
        </is>
      </c>
      <c r="C18" s="5" t="n"/>
    </row>
    <row r="19" ht="30" customHeight="1">
      <c r="A19" s="4" t="inlineStr">
        <is>
          <t>CPI ou SPI abaixo de 0,90 em um check-in</t>
        </is>
      </c>
      <c r="B19" s="4" t="inlineStr">
        <is>
          <t>Ação corretiva imediata dos GPs, focada primeiro no caminho crítico.</t>
        </is>
      </c>
      <c r="C19" s="5" t="n"/>
    </row>
    <row r="20" ht="30" customHeight="1">
      <c r="A20" s="4" t="inlineStr">
        <is>
          <t>Projeção de término (EAC) que ameace a reserva de gerenciamento</t>
        </is>
      </c>
      <c r="B20" s="4" t="inlineStr">
        <is>
          <t>Revisão formal e alerta ao patrocinador; acima da reserva, escalonamento e re-baseline.</t>
        </is>
      </c>
      <c r="C20" s="5" t="n"/>
    </row>
    <row r="21" ht="30" customHeight="1">
      <c r="A21" s="4" t="inlineStr">
        <is>
          <t>Consumo da reserva de contingência acima do avanço físico do projeto</t>
        </is>
      </c>
      <c r="B21" s="4" t="inlineStr">
        <is>
          <t>Reavaliação das estimativas restantes no check-in seguinte.</t>
        </is>
      </c>
      <c r="C21" s="5" t="n"/>
    </row>
  </sheetData>
  <mergeCells count="8">
    <mergeCell ref="B21:C21"/>
    <mergeCell ref="A11:C11"/>
    <mergeCell ref="A1:C1"/>
    <mergeCell ref="B19:C19"/>
    <mergeCell ref="B20:C20"/>
    <mergeCell ref="A17:C17"/>
    <mergeCell ref="A3:C3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15" customWidth="1" min="3" max="3"/>
    <col width="14" customWidth="1" min="4" max="4"/>
    <col width="15" customWidth="1" min="5" max="5"/>
    <col width="18" customWidth="1" min="6" max="6"/>
  </cols>
  <sheetData>
    <row r="1" ht="26" customHeight="1">
      <c r="A1" s="1" t="inlineStr">
        <is>
          <t>2. ESTIMAR CUSTOS — Estimativa por pacote da EAP, a partir das atividades do Cronograma (R$ 300/dia-pessoa)</t>
        </is>
      </c>
    </row>
    <row r="3" ht="20" customHeight="1">
      <c r="A3" s="2" t="inlineStr">
        <is>
          <t>Estimativa bottom-up por pacote (dias-pessoa somados das atividades do Cronograma nivelado)</t>
        </is>
      </c>
    </row>
    <row r="4">
      <c r="A4" s="3" t="inlineStr">
        <is>
          <t>Pacote EAP</t>
        </is>
      </c>
      <c r="B4" s="3" t="inlineStr">
        <is>
          <t>Atividades do Cronograma</t>
        </is>
      </c>
      <c r="C4" s="3" t="inlineStr">
        <is>
          <t>Técnica</t>
        </is>
      </c>
      <c r="D4" s="3" t="inlineStr">
        <is>
          <t>Dias-pessoa</t>
        </is>
      </c>
      <c r="E4" s="3" t="inlineStr">
        <is>
          <t>Custo (R$)</t>
        </is>
      </c>
    </row>
    <row r="5" ht="28" customHeight="1">
      <c r="A5" s="4" t="inlineStr">
        <is>
          <t>1.1 Gestão do Projeto</t>
        </is>
      </c>
      <c r="B5" s="4" t="inlineStr">
        <is>
          <t>Esforço contínuo de gestão (fora da rede)</t>
        </is>
      </c>
      <c r="C5" s="4" t="inlineStr">
        <is>
          <t>Análoga</t>
        </is>
      </c>
      <c r="D5" s="16">
        <f>12</f>
        <v/>
      </c>
      <c r="E5" s="8">
        <f>ROUND(D5*300,0)</f>
        <v/>
      </c>
    </row>
    <row r="6" ht="28" customHeight="1">
      <c r="A6" s="4" t="inlineStr">
        <is>
          <t>1.2 Requisitos e Arquitetura</t>
        </is>
      </c>
      <c r="B6" s="4" t="inlineStr">
        <is>
          <t>A1 (dois GPs, 3 d), A2 (2 d), A3 (3 d), A4 (2 d)</t>
        </is>
      </c>
      <c r="C6" s="4" t="inlineStr">
        <is>
          <t>Análoga</t>
        </is>
      </c>
      <c r="D6" s="16">
        <f>3*2+2+3+2</f>
        <v/>
      </c>
      <c r="E6" s="8">
        <f>ROUND(D6*300,0)</f>
        <v/>
      </c>
    </row>
    <row r="7" ht="28" customHeight="1">
      <c r="A7" s="4" t="inlineStr">
        <is>
          <t>1.3.1 Backend, API e ingestão</t>
        </is>
      </c>
      <c r="B7" s="4" t="inlineStr">
        <is>
          <t>A5 (3 d), A6 (6 d), A7 (6 d)</t>
        </is>
      </c>
      <c r="C7" s="4" t="inlineStr">
        <is>
          <t>Três pontos</t>
        </is>
      </c>
      <c r="D7" s="16">
        <f>3+6+6</f>
        <v/>
      </c>
      <c r="E7" s="8">
        <f>ROUND(D7*300,0)</f>
        <v/>
      </c>
    </row>
    <row r="8" ht="28" customHeight="1">
      <c r="A8" s="4" t="inlineStr">
        <is>
          <t>1.3.2 Motor de alertas</t>
        </is>
      </c>
      <c r="B8" s="4" t="inlineStr">
        <is>
          <t>A8 (9 d)</t>
        </is>
      </c>
      <c r="C8" s="4" t="inlineStr">
        <is>
          <t>Três pontos</t>
        </is>
      </c>
      <c r="D8" s="16">
        <f>9</f>
        <v/>
      </c>
      <c r="E8" s="8">
        <f>ROUND(D8*300,0)</f>
        <v/>
      </c>
    </row>
    <row r="9" ht="28" customHeight="1">
      <c r="A9" s="4" t="inlineStr">
        <is>
          <t>1.3.3 Frontend</t>
        </is>
      </c>
      <c r="B9" s="4" t="inlineStr">
        <is>
          <t>A11 (6 d), A12 (4 d), A13 (3 d), A14 (4 d)</t>
        </is>
      </c>
      <c r="C9" s="4" t="inlineStr">
        <is>
          <t>Paramétrica</t>
        </is>
      </c>
      <c r="D9" s="16">
        <f>6+4+3+4</f>
        <v/>
      </c>
      <c r="E9" s="8">
        <f>ROUND(D9*300,0)</f>
        <v/>
      </c>
    </row>
    <row r="10" ht="28" customHeight="1">
      <c r="A10" s="4" t="inlineStr">
        <is>
          <t>1.3.4 Autenticação e LGPD</t>
        </is>
      </c>
      <c r="B10" s="4" t="inlineStr">
        <is>
          <t>A9 (2 d), A10 (3 d)</t>
        </is>
      </c>
      <c r="C10" s="4" t="inlineStr">
        <is>
          <t>Bottom-up</t>
        </is>
      </c>
      <c r="D10" s="16">
        <f>2+3</f>
        <v/>
      </c>
      <c r="E10" s="8">
        <f>ROUND(D10*300,0)</f>
        <v/>
      </c>
    </row>
    <row r="11" ht="28" customHeight="1">
      <c r="A11" s="4" t="inlineStr">
        <is>
          <t>1.3.5 Infraestrutura e implantação</t>
        </is>
      </c>
      <c r="B11" s="4" t="inlineStr">
        <is>
          <t>A21 (2 d)</t>
        </is>
      </c>
      <c r="C11" s="4" t="inlineStr">
        <is>
          <t>Especialista</t>
        </is>
      </c>
      <c r="D11" s="16">
        <f>2</f>
        <v/>
      </c>
      <c r="E11" s="8">
        <f>ROUND(D11*300,0)</f>
        <v/>
      </c>
    </row>
    <row r="12" ht="28" customHeight="1">
      <c r="A12" s="4" t="inlineStr">
        <is>
          <t>1.4 Testes e Homologação</t>
        </is>
      </c>
      <c r="B12" s="4" t="inlineStr">
        <is>
          <t>A15 (4 d), A16 (3 d), A17 (3 d), A18 (11 d x 2 GPs x 1/3)</t>
        </is>
      </c>
      <c r="C12" s="4" t="inlineStr">
        <is>
          <t>Três pontos</t>
        </is>
      </c>
      <c r="D12" s="16">
        <f>4+3+3+11*2/3</f>
        <v/>
      </c>
      <c r="E12" s="8">
        <f>ROUND(D12*300,0)</f>
        <v/>
      </c>
    </row>
    <row r="13">
      <c r="A13" s="4" t="inlineStr">
        <is>
          <t>1.5 Treinamento e Encerramento</t>
        </is>
      </c>
      <c r="B13" s="4" t="inlineStr">
        <is>
          <t>A19 (1 d x 2 GPs x 2/3), A20 (3 d x 2/3)</t>
        </is>
      </c>
      <c r="C13" s="4" t="inlineStr">
        <is>
          <t>Análoga</t>
        </is>
      </c>
      <c r="D13" s="16">
        <f>1*2*2/3+3*2/3</f>
        <v/>
      </c>
      <c r="E13" s="8">
        <f>ROUND(D13*300,0)</f>
        <v/>
      </c>
    </row>
    <row r="14">
      <c r="A14" s="9" t="inlineStr">
        <is>
          <t>Subtotal mão de obra (CapEx)</t>
        </is>
      </c>
      <c r="B14" s="9" t="n"/>
      <c r="C14" s="9" t="n"/>
      <c r="D14" s="17">
        <f>SUM(D5:D13)</f>
        <v/>
      </c>
      <c r="E14" s="11">
        <f>SUM(E5:E13)</f>
        <v/>
      </c>
    </row>
    <row r="15">
      <c r="A15" s="4" t="inlineStr">
        <is>
          <t>Infraestrutura do período (OpEx)</t>
        </is>
      </c>
      <c r="B15" s="4" t="inlineStr">
        <is>
          <t>API, VPS, domínio, ferramentas (aba Financiar)</t>
        </is>
      </c>
      <c r="C15" s="4" t="inlineStr">
        <is>
          <t>Bottom-up</t>
        </is>
      </c>
      <c r="D15" s="4" t="n"/>
      <c r="E15" s="8">
        <f>Financiar!D26</f>
        <v/>
      </c>
    </row>
    <row r="16">
      <c r="A16" s="9" t="inlineStr">
        <is>
          <t>Total das estimativas</t>
        </is>
      </c>
      <c r="B16" s="9" t="n"/>
      <c r="C16" s="9" t="n"/>
      <c r="D16" s="9" t="n"/>
      <c r="E16" s="11">
        <f>E14+E15</f>
        <v/>
      </c>
    </row>
    <row r="17" ht="20" customHeight="1">
      <c r="A17" s="2" t="n"/>
    </row>
    <row r="18">
      <c r="A18" s="2" t="inlineStr">
        <is>
          <t>Estimativa de três pontos dos pacotes de risco — C_E = (O + 4M + P) / 6, a partir do O/M/P das atividades do Cronograma</t>
        </is>
      </c>
    </row>
    <row r="19" ht="22" customHeight="1">
      <c r="A19" s="3" t="inlineStr">
        <is>
          <t>Pacote</t>
        </is>
      </c>
      <c r="B19" s="3" t="inlineStr">
        <is>
          <t>Otimista (R$)</t>
        </is>
      </c>
      <c r="C19" s="3" t="inlineStr">
        <is>
          <t>Mais provável (R$)</t>
        </is>
      </c>
      <c r="D19" s="3" t="inlineStr">
        <is>
          <t>Pessimista (R$)</t>
        </is>
      </c>
      <c r="E19" s="3" t="inlineStr">
        <is>
          <t>Estimado C_E (R$)</t>
        </is>
      </c>
      <c r="F19" t="inlineStr">
        <is>
          <t>Na linha de base (R$)</t>
        </is>
      </c>
    </row>
    <row r="20" ht="22" customHeight="1">
      <c r="A20" s="4" t="inlineStr">
        <is>
          <t>1.3.1 Backend, API e ingestão</t>
        </is>
      </c>
      <c r="B20" s="8">
        <f>(3+3+3)*300</f>
        <v/>
      </c>
      <c r="C20" s="8">
        <f>(3+5+5)*300</f>
        <v/>
      </c>
      <c r="D20" s="8">
        <f>(3+9+10)*300</f>
        <v/>
      </c>
      <c r="E20" s="8">
        <f>(B20+4*C20+D20)/6</f>
        <v/>
      </c>
      <c r="F20">
        <f>E7</f>
        <v/>
      </c>
    </row>
    <row r="21" ht="22" customHeight="1">
      <c r="A21" s="4" t="inlineStr">
        <is>
          <t>1.3.2 Motor de alertas</t>
        </is>
      </c>
      <c r="B21" s="8">
        <f>5*300</f>
        <v/>
      </c>
      <c r="C21" s="8">
        <f>8*300</f>
        <v/>
      </c>
      <c r="D21" s="8">
        <f>15*300</f>
        <v/>
      </c>
      <c r="E21" s="8">
        <f>(B21+4*C21+D21)/6</f>
        <v/>
      </c>
      <c r="F21">
        <f>E8</f>
        <v/>
      </c>
    </row>
    <row r="22">
      <c r="A22" s="4" t="inlineStr">
        <is>
          <t>1.4 Testes e Homologação</t>
        </is>
      </c>
      <c r="B22" s="8">
        <f>(10+7*2/3)*300</f>
        <v/>
      </c>
      <c r="C22" s="8">
        <f>(10+10*2/3)*300</f>
        <v/>
      </c>
      <c r="D22" s="8">
        <f>(10+15*2/3)*300</f>
        <v/>
      </c>
      <c r="E22" s="8">
        <f>(B22+4*C22+D22)/6</f>
        <v/>
      </c>
      <c r="F22">
        <f>E12</f>
        <v/>
      </c>
    </row>
    <row r="23" ht="30" customHeight="1">
      <c r="A23" s="12" t="n"/>
    </row>
    <row r="24">
      <c r="A24" s="12" t="inlineStr">
        <is>
          <t>A linha de base usa as durações do Cronograma com t_E arredondado para cima; por isso fica acima de C_E. A incerteza dos pacotes é tratada no registro de riscos (aba Riscos), que dimensiona a reserva de contingência.</t>
        </is>
      </c>
    </row>
  </sheetData>
  <mergeCells count="4">
    <mergeCell ref="A24:F24"/>
    <mergeCell ref="A1:E1"/>
    <mergeCell ref="A18:F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RISCOS — Valor Monetário Esperado (VME) que dimensiona a reserva de contingência</t>
        </is>
      </c>
    </row>
    <row r="3">
      <c r="A3" s="3" t="inlineStr">
        <is>
          <t>ID</t>
        </is>
      </c>
      <c r="B3" s="3" t="inlineStr">
        <is>
          <t>Risco (resumo)</t>
        </is>
      </c>
      <c r="C3" s="3" t="inlineStr">
        <is>
          <t>Probabilidade</t>
        </is>
      </c>
      <c r="D3" s="3" t="inlineStr">
        <is>
          <t>Impacto (R$)</t>
        </is>
      </c>
      <c r="E3" s="3" t="inlineStr">
        <is>
          <t>VME (R$)</t>
        </is>
      </c>
      <c r="F3" s="3" t="inlineStr">
        <is>
          <t>Dono</t>
        </is>
      </c>
    </row>
    <row r="4">
      <c r="A4" s="4" t="inlineStr">
        <is>
          <t>R01</t>
        </is>
      </c>
      <c r="B4" s="4" t="inlineStr">
        <is>
          <t>Acesso, documentação ou limite da API do provedor atrasam a ingestão (A7)</t>
        </is>
      </c>
      <c r="C4" s="18" t="n">
        <v>0.7</v>
      </c>
      <c r="D4" s="19" t="n">
        <v>-1800</v>
      </c>
      <c r="E4" s="19">
        <f>C4*D4</f>
        <v/>
      </c>
      <c r="F4" s="4" t="inlineStr">
        <is>
          <t>Kerlon</t>
        </is>
      </c>
    </row>
    <row r="5">
      <c r="A5" s="4" t="inlineStr">
        <is>
          <t>R02</t>
        </is>
      </c>
      <c r="B5" s="4" t="inlineStr">
        <is>
          <t>Motor de alertas (A8) estoura além do pessimista</t>
        </is>
      </c>
      <c r="C5" s="18" t="n">
        <v>0.5</v>
      </c>
      <c r="D5" s="19" t="n">
        <v>-1500</v>
      </c>
      <c r="E5" s="19">
        <f>C5*D5</f>
        <v/>
      </c>
      <c r="F5" s="4" t="inlineStr">
        <is>
          <t>Enzo</t>
        </is>
      </c>
    </row>
    <row r="6">
      <c r="A6" s="4" t="inlineStr">
        <is>
          <t>R03</t>
        </is>
      </c>
      <c r="B6" s="4" t="inlineStr">
        <is>
          <t>Não conformidade com a LGPD exige retrabalho e trava o piloto</t>
        </is>
      </c>
      <c r="C6" s="18" t="n">
        <v>0.3</v>
      </c>
      <c r="D6" s="19" t="n">
        <v>-2400</v>
      </c>
      <c r="E6" s="19">
        <f>C6*D6</f>
        <v/>
      </c>
      <c r="F6" s="4" t="inlineStr">
        <is>
          <t>Kerlon</t>
        </is>
      </c>
    </row>
    <row r="7">
      <c r="A7" s="4" t="inlineStr">
        <is>
          <t>R04</t>
        </is>
      </c>
      <c r="B7" s="4" t="inlineStr">
        <is>
          <t>Sobrecarga dos GPs com provas e outras disciplinas</t>
        </is>
      </c>
      <c r="C7" s="18" t="n">
        <v>0.5</v>
      </c>
      <c r="D7" s="19" t="n">
        <v>-1200</v>
      </c>
      <c r="E7" s="19">
        <f>C7*D7</f>
        <v/>
      </c>
      <c r="F7" s="4" t="inlineStr">
        <is>
          <t>Enzo</t>
        </is>
      </c>
    </row>
    <row r="8">
      <c r="A8" s="4" t="inlineStr">
        <is>
          <t>R05</t>
        </is>
      </c>
      <c r="B8" s="4" t="inlineStr">
        <is>
          <t>Transportadora atrasa ou usa pouco o piloto, que precisa ser estendido</t>
        </is>
      </c>
      <c r="C8" s="18" t="n">
        <v>0.5</v>
      </c>
      <c r="D8" s="19" t="n">
        <v>-800</v>
      </c>
      <c r="E8" s="19">
        <f>C8*D8</f>
        <v/>
      </c>
      <c r="F8" s="4" t="inlineStr">
        <is>
          <t>Kerlon</t>
        </is>
      </c>
    </row>
    <row r="9">
      <c r="A9" s="4" t="inlineStr">
        <is>
          <t>R06</t>
        </is>
      </c>
      <c r="B9" s="4" t="inlineStr">
        <is>
          <t>Patrocinador demora a aprovar marcos</t>
        </is>
      </c>
      <c r="C9" s="18" t="n">
        <v>0.3</v>
      </c>
      <c r="D9" s="19" t="n">
        <v>-600</v>
      </c>
      <c r="E9" s="19">
        <f>C9*D9</f>
        <v/>
      </c>
      <c r="F9" s="4" t="inlineStr">
        <is>
          <t>Enzo</t>
        </is>
      </c>
    </row>
    <row r="10">
      <c r="A10" s="4" t="inlineStr">
        <is>
          <t>R07</t>
        </is>
      </c>
      <c r="B10" s="4" t="inlineStr">
        <is>
          <t>Resistência dos motoristas (rastreador desligado, dados falhos)</t>
        </is>
      </c>
      <c r="C10" s="18" t="n">
        <v>0.3</v>
      </c>
      <c r="D10" s="19" t="n">
        <v>-900</v>
      </c>
      <c r="E10" s="19">
        <f>C10*D10</f>
        <v/>
      </c>
      <c r="F10" s="4" t="inlineStr">
        <is>
          <t>Kerlon</t>
        </is>
      </c>
    </row>
    <row r="11">
      <c r="A11" s="4" t="inlineStr">
        <is>
          <t>R08</t>
        </is>
      </c>
      <c r="B11" s="4" t="inlineStr">
        <is>
          <t>Intervalo irregular do provedor gera alertas falsos de perda de sinal</t>
        </is>
      </c>
      <c r="C11" s="18" t="n">
        <v>0.5</v>
      </c>
      <c r="D11" s="19" t="n">
        <v>-600</v>
      </c>
      <c r="E11" s="19">
        <f>C11*D11</f>
        <v/>
      </c>
      <c r="F11" s="4" t="inlineStr">
        <is>
          <t>Kerlon</t>
        </is>
      </c>
    </row>
    <row r="12">
      <c r="A12" s="4" t="inlineStr">
        <is>
          <t>O01</t>
        </is>
      </c>
      <c r="B12" s="4" t="inlineStr">
        <is>
          <t>Bibliotecas prontas de exportação PDF/XLS reduzem A14</t>
        </is>
      </c>
      <c r="C12" s="18" t="n">
        <v>0.7</v>
      </c>
      <c r="D12" s="19" t="n">
        <v>600</v>
      </c>
      <c r="E12" s="19">
        <f>C12*D12</f>
        <v/>
      </c>
      <c r="F12" s="4" t="inlineStr">
        <is>
          <t>Enzo</t>
        </is>
      </c>
    </row>
    <row r="13">
      <c r="A13" s="4" t="inlineStr">
        <is>
          <t>O02</t>
        </is>
      </c>
      <c r="B13" s="4" t="inlineStr">
        <is>
          <t>Webhook do provedor substitui o polling e reduz A7</t>
        </is>
      </c>
      <c r="C13" s="18" t="n">
        <v>0.3</v>
      </c>
      <c r="D13" s="19" t="n">
        <v>300</v>
      </c>
      <c r="E13" s="19">
        <f>C13*D13</f>
        <v/>
      </c>
      <c r="F13" s="4" t="inlineStr">
        <is>
          <t>Kerlon</t>
        </is>
      </c>
    </row>
    <row r="14">
      <c r="A14" s="9" t="inlineStr">
        <is>
          <t>Total (VME líquido)</t>
        </is>
      </c>
      <c r="B14" s="9" t="n"/>
      <c r="C14" s="9" t="n"/>
      <c r="D14" s="9" t="n"/>
      <c r="E14" s="20">
        <f>SUM(E4:E13)</f>
        <v/>
      </c>
      <c r="F14" s="9" t="n"/>
    </row>
    <row r="15">
      <c r="A15" s="9" t="inlineStr">
        <is>
          <t>Reserva de contingência (valor absoluto do VME líquido)</t>
        </is>
      </c>
      <c r="B15" s="9" t="n"/>
      <c r="C15" s="9" t="n"/>
      <c r="D15" s="9" t="n"/>
      <c r="E15" s="21">
        <f>-E14</f>
        <v/>
      </c>
      <c r="F15" s="9" t="n"/>
    </row>
    <row r="17">
      <c r="A17" t="inlineStr">
        <is>
          <t>Escalas e respostas completas no Documento de Riscos (riscos/). Ameaças têm impacto negativo; oportunidades, positivo. O03 (escalar ao portfólio) não entra no VME por gerar valor fora do projeto.</t>
        </is>
      </c>
    </row>
  </sheetData>
  <mergeCells count="2">
    <mergeCell ref="A1:F1"/>
    <mergeCell ref="A17:F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4" customWidth="1" min="2" max="2"/>
    <col width="30" customWidth="1" min="3" max="3"/>
    <col width="16" customWidth="1" min="4" max="4"/>
  </cols>
  <sheetData>
    <row r="1" ht="26" customHeight="1">
      <c r="A1" s="1" t="inlineStr">
        <is>
          <t>3. DESENVOLVER O ORÇAMENTO — Estimativas + reservas = linha de base autorizada</t>
        </is>
      </c>
    </row>
    <row r="3" ht="20" customHeight="1">
      <c r="A3" s="2" t="inlineStr">
        <is>
          <t>As duas reservas</t>
        </is>
      </c>
    </row>
    <row r="4">
      <c r="A4" s="3" t="inlineStr">
        <is>
          <t>Reserva</t>
        </is>
      </c>
      <c r="B4" s="3" t="inlineStr">
        <is>
          <t>Cobre</t>
        </is>
      </c>
      <c r="C4" s="3" t="inlineStr">
        <is>
          <t>Onde fica</t>
        </is>
      </c>
    </row>
    <row r="5" ht="30" customHeight="1">
      <c r="A5" s="4" t="inlineStr">
        <is>
          <t>Contingência — riscos conhecidos</t>
        </is>
      </c>
      <c r="B5" s="4" t="inlineStr">
        <is>
          <t>Riscos do registro de riscos, pelo VME líquido (aba Riscos)</t>
        </is>
      </c>
      <c r="C5" s="4" t="inlineStr">
        <is>
          <t>DENTRO da linha de base; controlada pelos GPs</t>
        </is>
      </c>
    </row>
    <row r="6" ht="30" customHeight="1">
      <c r="A6" s="4" t="inlineStr">
        <is>
          <t>Gerenciamento — riscos desconhecidos</t>
        </is>
      </c>
      <c r="B6" s="4" t="inlineStr">
        <is>
          <t>Trabalho imprevisto que ninguém mapeou</t>
        </is>
      </c>
      <c r="C6" s="4" t="inlineStr">
        <is>
          <t>FORA da linha de base; liberada pelo patrocinador</t>
        </is>
      </c>
    </row>
    <row r="8" ht="20" customHeight="1">
      <c r="A8" s="2" t="inlineStr">
        <is>
          <t>Composição do orçamento</t>
        </is>
      </c>
    </row>
    <row r="9">
      <c r="A9" s="3" t="inlineStr">
        <is>
          <t>Componente</t>
        </is>
      </c>
      <c r="B9" s="3" t="inlineStr">
        <is>
          <t>Valor (R$)</t>
        </is>
      </c>
      <c r="C9" s="5" t="n"/>
    </row>
    <row r="10">
      <c r="A10" s="4" t="inlineStr">
        <is>
          <t>Estimativas dos pacotes (mão de obra)</t>
        </is>
      </c>
      <c r="B10" s="8">
        <f>Estimar!E14</f>
        <v/>
      </c>
      <c r="C10" s="4" t="inlineStr"/>
    </row>
    <row r="11">
      <c r="A11" s="4" t="inlineStr">
        <is>
          <t>Infraestrutura do período (OpEx)</t>
        </is>
      </c>
      <c r="B11" s="8">
        <f>Estimar!E15</f>
        <v/>
      </c>
      <c r="C11" s="4" t="inlineStr"/>
    </row>
    <row r="12">
      <c r="A12" s="9" t="inlineStr">
        <is>
          <t>Subtotal das estimativas</t>
        </is>
      </c>
      <c r="B12" s="11">
        <f>B10+B11</f>
        <v/>
      </c>
      <c r="C12" s="9" t="inlineStr"/>
    </row>
    <row r="13">
      <c r="A13" s="4" t="inlineStr">
        <is>
          <t>(+) Reserva de contingência (VME líquido do registro de riscos)</t>
        </is>
      </c>
      <c r="B13" s="8">
        <f>Riscos!E15</f>
        <v/>
      </c>
      <c r="C13" s="4" t="inlineStr"/>
    </row>
    <row r="14">
      <c r="A14" s="9" t="inlineStr">
        <is>
          <t>Linha de base de custos (BAC)</t>
        </is>
      </c>
      <c r="B14" s="11">
        <f>B12+B13</f>
        <v/>
      </c>
      <c r="C14" s="9" t="inlineStr"/>
    </row>
    <row r="15">
      <c r="A15" s="4" t="inlineStr">
        <is>
          <t>(+) Reserva de gerenciamento (5% da linha de base)</t>
        </is>
      </c>
      <c r="B15" s="8">
        <f>ROUND(B14*0.05,0)</f>
        <v/>
      </c>
      <c r="C15" s="4" t="inlineStr"/>
    </row>
    <row r="16">
      <c r="A16" s="9" t="inlineStr">
        <is>
          <t>Orçamento total do projeto</t>
        </is>
      </c>
      <c r="B16" s="11">
        <f>B14+B15</f>
        <v/>
      </c>
      <c r="C16" s="9" t="inlineStr"/>
    </row>
    <row r="18" ht="30" customHeight="1">
      <c r="A18" s="12" t="inlineStr">
        <is>
          <t>A linha de base (BAC) é a régua do EVM; o orçamento total é maior porque inclui a reserva de gerenciamento, que NÃO faz parte da base de comparação. A linha de base é aprovada pelo patrocinador.</t>
        </is>
      </c>
    </row>
    <row r="20" ht="20" customHeight="1">
      <c r="A20" s="2" t="inlineStr">
        <is>
          <t>Orçamento no tempo — Curva S (Valor Planejado acumulado sobre as 11 semanas do Cronograma nivelado)</t>
        </is>
      </c>
    </row>
    <row r="21">
      <c r="A21" s="3" t="inlineStr">
        <is>
          <t>Semana</t>
        </is>
      </c>
      <c r="B21" s="3" t="inlineStr">
        <is>
          <t>% acumulado</t>
        </is>
      </c>
      <c r="C21" s="3" t="inlineStr">
        <is>
          <t>Acumulado (R$) = BAC x %</t>
        </is>
      </c>
    </row>
    <row r="22">
      <c r="A22" s="4" t="inlineStr">
        <is>
          <t>S1 (31/08)</t>
        </is>
      </c>
      <c r="B22" s="22" t="n">
        <v>0.11774</v>
      </c>
      <c r="C22" s="8">
        <f>ROUND($B$14*B22,0)</f>
        <v/>
      </c>
    </row>
    <row r="23">
      <c r="A23" s="4" t="inlineStr">
        <is>
          <t>S2 (07/09)</t>
        </is>
      </c>
      <c r="B23" s="22" t="n">
        <v>0.20423</v>
      </c>
      <c r="C23" s="8">
        <f>ROUND($B$14*B23,0)</f>
        <v/>
      </c>
    </row>
    <row r="24">
      <c r="A24" s="4" t="inlineStr">
        <is>
          <t>S3 (14/09)</t>
        </is>
      </c>
      <c r="B24" s="22" t="n">
        <v>0.32197</v>
      </c>
      <c r="C24" s="8">
        <f>ROUND($B$14*B24,0)</f>
        <v/>
      </c>
    </row>
    <row r="25">
      <c r="A25" s="4" t="inlineStr">
        <is>
          <t>S4 (21/09)</t>
        </is>
      </c>
      <c r="B25" s="22" t="n">
        <v>0.43971</v>
      </c>
      <c r="C25" s="8">
        <f>ROUND($B$14*B25,0)</f>
        <v/>
      </c>
    </row>
    <row r="26">
      <c r="A26" s="4" t="inlineStr">
        <is>
          <t>S5 (28/09)</t>
        </is>
      </c>
      <c r="B26" s="22" t="n">
        <v>0.557449</v>
      </c>
      <c r="C26" s="8">
        <f>ROUND($B$14*B26,0)</f>
        <v/>
      </c>
    </row>
    <row r="27">
      <c r="A27" s="4" t="inlineStr">
        <is>
          <t>S6 (05/10)</t>
        </is>
      </c>
      <c r="B27" s="22" t="n">
        <v>0.675189</v>
      </c>
      <c r="C27" s="8">
        <f>ROUND($B$14*B27,0)</f>
        <v/>
      </c>
    </row>
    <row r="28">
      <c r="A28" s="4" t="inlineStr">
        <is>
          <t>S7 (12/10)</t>
        </is>
      </c>
      <c r="B28" s="22" t="n">
        <v>0.772096</v>
      </c>
      <c r="C28" s="8">
        <f>ROUND($B$14*B28,0)</f>
        <v/>
      </c>
    </row>
    <row r="29">
      <c r="A29" s="4" t="inlineStr">
        <is>
          <t>S8 (19/10)</t>
        </is>
      </c>
      <c r="B29" s="22" t="n">
        <v>0.848169</v>
      </c>
      <c r="C29" s="8">
        <f>ROUND($B$14*B29,0)</f>
        <v/>
      </c>
    </row>
    <row r="30">
      <c r="A30" s="4" t="inlineStr">
        <is>
          <t>S9 (26/10)</t>
        </is>
      </c>
      <c r="B30" s="22" t="n">
        <v>0.896465</v>
      </c>
      <c r="C30" s="8">
        <f>ROUND($B$14*B30,0)</f>
        <v/>
      </c>
    </row>
    <row r="31">
      <c r="A31" s="4" t="inlineStr">
        <is>
          <t>S10 (02/11)</t>
        </is>
      </c>
      <c r="B31" s="22" t="n">
        <v>0.937816</v>
      </c>
      <c r="C31" s="8">
        <f>ROUND($B$14*B31,0)</f>
        <v/>
      </c>
    </row>
    <row r="32" ht="30" customHeight="1">
      <c r="A32" s="4" t="inlineStr">
        <is>
          <t>S11 (09/11)</t>
        </is>
      </c>
      <c r="B32" s="22" t="n">
        <v>1</v>
      </c>
      <c r="C32" s="8">
        <f>ROUND($B$14*B32,0)</f>
        <v/>
      </c>
    </row>
    <row r="34">
      <c r="A34" s="12" t="inlineStr">
        <is>
          <t>Miolo íngreme e fim achatado (no piloto, S9 a S11, a equipe trabalha 1/3 da jornada). O arranque não é lento porque a equipe fixa de dois GPs começa 100% alocada. Esta curva é o PV da aba Controlar custos.</t>
        </is>
      </c>
    </row>
  </sheetData>
  <mergeCells count="7">
    <mergeCell ref="A1:D1"/>
    <mergeCell ref="A8:C8"/>
    <mergeCell ref="A18:C18"/>
    <mergeCell ref="A3:C3"/>
    <mergeCell ref="A34:C34"/>
    <mergeCell ref="B9:C9"/>
    <mergeCell ref="A20:C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22" customWidth="1" min="3" max="3"/>
    <col width="16" customWidth="1" min="4" max="4"/>
  </cols>
  <sheetData>
    <row r="1" ht="26" customHeight="1">
      <c r="A1" s="1" t="inlineStr">
        <is>
          <t>4. FINANCIAR / FUNDEAR — Fontes de recursos e classificação de custos</t>
        </is>
      </c>
    </row>
    <row r="3" ht="20" customHeight="1">
      <c r="A3" s="2" t="inlineStr">
        <is>
          <t>Fontes de financiamento</t>
        </is>
      </c>
    </row>
    <row r="4">
      <c r="A4" s="3" t="inlineStr">
        <is>
          <t>Fonte</t>
        </is>
      </c>
      <c r="B4" s="3" t="inlineStr">
        <is>
          <t>Papel no TrackFleet</t>
        </is>
      </c>
      <c r="C4" s="3" t="inlineStr">
        <is>
          <t>Aplica?</t>
        </is>
      </c>
      <c r="D4" s="3" t="inlineStr">
        <is>
          <t>Nível de rigor</t>
        </is>
      </c>
    </row>
    <row r="5" ht="28" customHeight="1">
      <c r="A5" s="4" t="inlineStr">
        <is>
          <t>Orçamento interno</t>
        </is>
      </c>
      <c r="B5" s="4" t="inlineStr">
        <is>
          <t>Horas dos dois GPs (recurso próprio, sem desembolso de caixa)</t>
        </is>
      </c>
      <c r="C5" s="4" t="inlineStr">
        <is>
          <t>Sim — fonte principal</t>
        </is>
      </c>
      <c r="D5" s="4" t="inlineStr">
        <is>
          <t>Leve</t>
        </is>
      </c>
    </row>
    <row r="6" ht="28" customHeight="1">
      <c r="A6" s="4" t="inlineStr">
        <is>
          <t>Contrato / patrocínio de cliente</t>
        </is>
      </c>
      <c r="B6" s="4" t="inlineStr">
        <is>
          <t>Transportadora parceira custeia a infraestrutura do piloto</t>
        </is>
      </c>
      <c r="C6" s="4" t="inlineStr">
        <is>
          <t>Sim — fonte secundária</t>
        </is>
      </c>
      <c r="D6" s="4" t="inlineStr">
        <is>
          <t>Leve, com prestação de contas da infra</t>
        </is>
      </c>
    </row>
    <row r="7" ht="28" customHeight="1">
      <c r="A7" s="4" t="inlineStr">
        <is>
          <t>Subvenções / grants</t>
        </is>
      </c>
      <c r="B7" s="4" t="inlineStr">
        <is>
          <t>—</t>
        </is>
      </c>
      <c r="C7" s="4" t="inlineStr">
        <is>
          <t>Não se aplica</t>
        </is>
      </c>
      <c r="D7" s="4" t="inlineStr">
        <is>
          <t>—</t>
        </is>
      </c>
    </row>
    <row r="8" ht="28" customHeight="1">
      <c r="A8" s="4" t="inlineStr">
        <is>
          <t>Crowdfunding</t>
        </is>
      </c>
      <c r="B8" s="4" t="inlineStr">
        <is>
          <t>—</t>
        </is>
      </c>
      <c r="C8" s="4" t="inlineStr">
        <is>
          <t>Não se aplica</t>
        </is>
      </c>
      <c r="D8" s="4" t="inlineStr">
        <is>
          <t>—</t>
        </is>
      </c>
    </row>
    <row r="10" ht="30" customHeight="1">
      <c r="A10" s="12" t="inlineStr">
        <is>
          <t>A fonte define o nível de rigor do controle: financiamento interno + patrocínio leve = governança financeira leve. A LGPD impõe controle formal de dados independentemente da fonte.</t>
        </is>
      </c>
    </row>
    <row r="12" ht="20" customHeight="1">
      <c r="A12" s="2" t="inlineStr">
        <is>
          <t>Classificação CapEx x OpEx</t>
        </is>
      </c>
    </row>
    <row r="13">
      <c r="A13" s="3" t="inlineStr">
        <is>
          <t>Categoria</t>
        </is>
      </c>
      <c r="B13" s="3" t="inlineStr">
        <is>
          <t>O que é no TrackFleet</t>
        </is>
      </c>
      <c r="C13" s="3" t="inlineStr">
        <is>
          <t>Itens</t>
        </is>
      </c>
      <c r="D13" s="3" t="inlineStr">
        <is>
          <t>Valor (R$)</t>
        </is>
      </c>
    </row>
    <row r="14" ht="28" customHeight="1">
      <c r="A14" s="4" t="inlineStr">
        <is>
          <t>CapEx — constrói o ativo</t>
        </is>
      </c>
      <c r="B14" s="4" t="inlineStr">
        <is>
          <t>Trabalho que cria a plataforma (bem duradouro)</t>
        </is>
      </c>
      <c r="C14" s="4" t="inlineStr">
        <is>
          <t>Horas de trabalho dos GPs em todos os pacotes da EAP</t>
        </is>
      </c>
      <c r="D14" s="8">
        <f>Estimar!E14</f>
        <v/>
      </c>
    </row>
    <row r="15" ht="28" customHeight="1">
      <c r="A15" s="4" t="inlineStr">
        <is>
          <t>OpEx — roda o dia a dia</t>
        </is>
      </c>
      <c r="B15" s="4" t="inlineStr">
        <is>
          <t>Custos contínuos durante projeto e piloto</t>
        </is>
      </c>
      <c r="C15" s="4" t="inlineStr">
        <is>
          <t>API, VPS, domínio, ferramentas; TLS e e-mail gratuitos</t>
        </is>
      </c>
      <c r="D15" s="8">
        <f>D26</f>
        <v/>
      </c>
    </row>
    <row r="17" ht="30" customHeight="1">
      <c r="A17" s="12" t="inlineStr">
        <is>
          <t>Gancho com o Termo de Abertura: 'orçamento zero para hardware próprio' elimina de propósito o maior CapEx de um sistema de rastreamento (comprar/instalar rastreadores) e o troca por OpEx (assinatura de API de terceiros).</t>
        </is>
      </c>
    </row>
    <row r="19" ht="20" customHeight="1">
      <c r="A19" s="2" t="inlineStr">
        <is>
          <t>Detalhamento do OpEx do período</t>
        </is>
      </c>
    </row>
    <row r="20">
      <c r="A20" s="3" t="inlineStr">
        <is>
          <t>Item</t>
        </is>
      </c>
      <c r="B20" s="3" t="inlineStr">
        <is>
          <t>R$ por mês</t>
        </is>
      </c>
      <c r="C20" s="3" t="inlineStr">
        <is>
          <t>Meses / base</t>
        </is>
      </c>
      <c r="D20" s="3" t="inlineStr">
        <is>
          <t>Total (R$)</t>
        </is>
      </c>
    </row>
    <row r="21">
      <c r="A21" s="4" t="inlineStr">
        <is>
          <t>Assinatura da API do provedor de rastreamento</t>
        </is>
      </c>
      <c r="B21" s="8" t="n">
        <v>100</v>
      </c>
      <c r="C21" s="4" t="inlineStr">
        <is>
          <t>3 meses</t>
        </is>
      </c>
      <c r="D21" s="8">
        <f>B21*3</f>
        <v/>
      </c>
    </row>
    <row r="22">
      <c r="A22" s="4" t="inlineStr">
        <is>
          <t>Hospedagem (VPS / nuvem de baixo custo)</t>
        </is>
      </c>
      <c r="B22" s="8" t="n">
        <v>60</v>
      </c>
      <c r="C22" s="4" t="inlineStr">
        <is>
          <t>4 meses</t>
        </is>
      </c>
      <c r="D22" s="8">
        <f>B22*4</f>
        <v/>
      </c>
    </row>
    <row r="23">
      <c r="A23" s="4" t="inlineStr">
        <is>
          <t>Domínio (.com.br)</t>
        </is>
      </c>
      <c r="B23" s="8" t="n"/>
      <c r="C23" s="4" t="inlineStr">
        <is>
          <t>anual</t>
        </is>
      </c>
      <c r="D23" s="8" t="n">
        <v>40</v>
      </c>
    </row>
    <row r="24">
      <c r="A24" s="4" t="inlineStr">
        <is>
          <t>Certificado TLS (Let's Encrypt)</t>
        </is>
      </c>
      <c r="B24" s="8" t="n"/>
      <c r="C24" s="4" t="inlineStr">
        <is>
          <t>gratuito</t>
        </is>
      </c>
      <c r="D24" s="8" t="n">
        <v>0</v>
      </c>
    </row>
    <row r="25">
      <c r="A25" s="4" t="inlineStr">
        <is>
          <t>Ferramentas e diversos</t>
        </is>
      </c>
      <c r="B25" s="8" t="n"/>
      <c r="C25" s="4" t="inlineStr">
        <is>
          <t>período</t>
        </is>
      </c>
      <c r="D25" s="8" t="n">
        <v>120</v>
      </c>
    </row>
    <row r="26">
      <c r="A26" s="9" t="inlineStr">
        <is>
          <t>Total OpEx</t>
        </is>
      </c>
      <c r="B26" s="9" t="inlineStr"/>
      <c r="C26" s="9" t="inlineStr"/>
      <c r="D26" s="11">
        <f>SUM(D21:D25)</f>
        <v/>
      </c>
    </row>
  </sheetData>
  <mergeCells count="6">
    <mergeCell ref="A1:D1"/>
    <mergeCell ref="A17:D17"/>
    <mergeCell ref="A12:D12"/>
    <mergeCell ref="A3:D3"/>
    <mergeCell ref="A19:D19"/>
    <mergeCell ref="A10:D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8" customWidth="1" min="2" max="2"/>
    <col width="20" customWidth="1" min="3" max="3"/>
    <col width="18" customWidth="1" min="4" max="4"/>
  </cols>
  <sheetData>
    <row r="1" ht="26" customHeight="1">
      <c r="A1" s="1" t="inlineStr">
        <is>
          <t>5. GERENCIAR — Gestão do valor: por que o investimento se justifica</t>
        </is>
      </c>
    </row>
    <row r="3" ht="20" customHeight="1">
      <c r="A3" s="2" t="inlineStr">
        <is>
          <t>Premissas do business case (visão do patrocinador — conservadoras e sujeitas a sensibilidade)</t>
        </is>
      </c>
    </row>
    <row r="4">
      <c r="A4" s="3" t="inlineStr">
        <is>
          <t>Item</t>
        </is>
      </c>
      <c r="B4" s="3" t="inlineStr">
        <is>
          <t>Valor</t>
        </is>
      </c>
      <c r="C4" s="14" t="n"/>
      <c r="D4" s="5" t="n"/>
    </row>
    <row r="5">
      <c r="A5" s="4" t="inlineStr">
        <is>
          <t>Investimento inicial (orçamento total, inclui o custo de oportunidade das horas da dupla)</t>
        </is>
      </c>
      <c r="B5" s="8">
        <f>Orçar!B16</f>
        <v/>
      </c>
      <c r="C5" s="4" t="inlineStr"/>
      <c r="D5" s="4" t="inlineStr"/>
    </row>
    <row r="6">
      <c r="A6" s="4" t="inlineStr">
        <is>
          <t>Ganho anual estimado</t>
        </is>
      </c>
      <c r="B6" s="8" t="n">
        <v>24000</v>
      </c>
      <c r="C6" s="4" t="inlineStr"/>
      <c r="D6" s="4" t="inlineStr"/>
    </row>
    <row r="7">
      <c r="A7" s="4" t="inlineStr">
        <is>
          <t>Custo operacional anual (pós-projeto)</t>
        </is>
      </c>
      <c r="B7" s="8" t="n">
        <v>3600</v>
      </c>
      <c r="C7" s="4" t="inlineStr"/>
      <c r="D7" s="4" t="inlineStr"/>
    </row>
    <row r="8">
      <c r="A8" s="9" t="inlineStr">
        <is>
          <t>Ganho líquido anual</t>
        </is>
      </c>
      <c r="B8" s="11">
        <f>B6-B7</f>
        <v/>
      </c>
      <c r="C8" s="9" t="inlineStr"/>
      <c r="D8" s="9" t="inlineStr"/>
    </row>
    <row r="9">
      <c r="A9" s="4" t="inlineStr">
        <is>
          <t>Taxa de desconto (custo de capital)</t>
        </is>
      </c>
      <c r="B9" s="13" t="n">
        <v>0.12</v>
      </c>
      <c r="C9" s="4" t="inlineStr"/>
      <c r="D9" s="4" t="inlineStr"/>
    </row>
    <row r="11" ht="20" customHeight="1">
      <c r="A11" s="2" t="inlineStr">
        <is>
          <t>Fluxo de caixa do projeto (base para VPL e TIR)</t>
        </is>
      </c>
    </row>
    <row r="12">
      <c r="A12" s="3" t="inlineStr">
        <is>
          <t>Ano</t>
        </is>
      </c>
      <c r="B12" s="3" t="inlineStr">
        <is>
          <t>Fluxo (R$)</t>
        </is>
      </c>
      <c r="C12" s="14" t="n"/>
      <c r="D12" s="5" t="n"/>
    </row>
    <row r="13">
      <c r="A13" s="4" t="inlineStr">
        <is>
          <t>Ano 0 (investimento)</t>
        </is>
      </c>
      <c r="B13" s="8">
        <f>-B5</f>
        <v/>
      </c>
      <c r="C13" s="4" t="inlineStr"/>
      <c r="D13" s="4" t="inlineStr"/>
    </row>
    <row r="14">
      <c r="A14" s="4" t="inlineStr">
        <is>
          <t>Ano 1</t>
        </is>
      </c>
      <c r="B14" s="8">
        <f>B8</f>
        <v/>
      </c>
      <c r="C14" s="4" t="inlineStr"/>
      <c r="D14" s="4" t="inlineStr"/>
    </row>
    <row r="15">
      <c r="A15" s="4" t="inlineStr">
        <is>
          <t>Ano 2</t>
        </is>
      </c>
      <c r="B15" s="8">
        <f>B8</f>
        <v/>
      </c>
      <c r="C15" s="4" t="inlineStr"/>
      <c r="D15" s="4" t="inlineStr"/>
    </row>
    <row r="16">
      <c r="A16" s="4" t="inlineStr">
        <is>
          <t>Ano 3</t>
        </is>
      </c>
      <c r="B16" s="8">
        <f>B8</f>
        <v/>
      </c>
      <c r="C16" s="4" t="inlineStr"/>
      <c r="D16" s="4" t="inlineStr"/>
    </row>
    <row r="18" ht="20" customHeight="1">
      <c r="A18" s="2" t="inlineStr">
        <is>
          <t>Métricas de retorno (calculadas)</t>
        </is>
      </c>
    </row>
    <row r="19">
      <c r="A19" s="3" t="inlineStr">
        <is>
          <t>Métrica</t>
        </is>
      </c>
      <c r="B19" s="3" t="inlineStr">
        <is>
          <t>Fórmula</t>
        </is>
      </c>
      <c r="C19" s="3" t="inlineStr">
        <is>
          <t>Resultado</t>
        </is>
      </c>
      <c r="D19" s="3" t="inlineStr">
        <is>
          <t>Leitura</t>
        </is>
      </c>
    </row>
    <row r="20">
      <c r="A20" s="4" t="inlineStr">
        <is>
          <t>Payback (anos)</t>
        </is>
      </c>
      <c r="B20" s="4" t="inlineStr">
        <is>
          <t>Investimento / ganho líquido</t>
        </is>
      </c>
      <c r="C20" s="7">
        <f>B5/B8</f>
        <v/>
      </c>
      <c r="D20" s="4" t="inlineStr">
        <is>
          <t>Abaixo de 2 anos</t>
        </is>
      </c>
    </row>
    <row r="21">
      <c r="A21" s="4" t="inlineStr">
        <is>
          <t>VPL (3 anos)</t>
        </is>
      </c>
      <c r="B21" s="4" t="inlineStr">
        <is>
          <t>-Inv + VP dos fluxos</t>
        </is>
      </c>
      <c r="C21" s="8">
        <f>B13+NPV(B9,B14:B16)</f>
        <v/>
      </c>
      <c r="D21" s="4" t="inlineStr">
        <is>
          <t>Positivo = cria valor</t>
        </is>
      </c>
    </row>
    <row r="22">
      <c r="A22" s="4" t="inlineStr">
        <is>
          <t>TIR (3 anos)</t>
        </is>
      </c>
      <c r="B22" s="4" t="inlineStr">
        <is>
          <t>Taxa que zera o VPL</t>
        </is>
      </c>
      <c r="C22" s="13">
        <f>IRR(B13:B16)</f>
        <v/>
      </c>
      <c r="D22" s="4" t="inlineStr">
        <is>
          <t>Supera com folga os 12%</t>
        </is>
      </c>
    </row>
    <row r="23">
      <c r="A23" s="4" t="inlineStr">
        <is>
          <t>ROI (3 anos)</t>
        </is>
      </c>
      <c r="B23" s="4" t="inlineStr">
        <is>
          <t>(3 x líquido - Inv) / Inv</t>
        </is>
      </c>
      <c r="C23" s="13">
        <f>(3*B8-B5)/B5</f>
        <v/>
      </c>
      <c r="D23" s="4" t="inlineStr">
        <is>
          <t>Maior é melhor</t>
        </is>
      </c>
    </row>
    <row r="25" ht="20" customHeight="1">
      <c r="A25" s="2" t="inlineStr">
        <is>
          <t>Sensibilidade — ganho anual 30% menor</t>
        </is>
      </c>
    </row>
    <row r="26">
      <c r="A26" s="3" t="inlineStr">
        <is>
          <t>Item</t>
        </is>
      </c>
      <c r="B26" s="3" t="inlineStr">
        <is>
          <t>Valor</t>
        </is>
      </c>
      <c r="C26" s="14" t="n"/>
      <c r="D26" s="5" t="n"/>
    </row>
    <row r="27">
      <c r="A27" s="4" t="inlineStr">
        <is>
          <t>Ganho anual (-30%)</t>
        </is>
      </c>
      <c r="B27" s="8">
        <f>B6*0.7</f>
        <v/>
      </c>
      <c r="C27" s="4" t="inlineStr"/>
      <c r="D27" s="4" t="inlineStr"/>
    </row>
    <row r="28">
      <c r="A28" s="4" t="inlineStr">
        <is>
          <t>Ganho líquido anual</t>
        </is>
      </c>
      <c r="B28" s="8">
        <f>B27-B7</f>
        <v/>
      </c>
      <c r="C28" s="4" t="inlineStr"/>
      <c r="D28" s="4" t="inlineStr"/>
    </row>
    <row r="29">
      <c r="A29" s="4" t="inlineStr">
        <is>
          <t>Payback (anos)</t>
        </is>
      </c>
      <c r="B29" s="7">
        <f>B5/B28</f>
        <v/>
      </c>
      <c r="C29" s="4" t="inlineStr"/>
      <c r="D29" s="4" t="inlineStr"/>
    </row>
    <row r="30">
      <c r="A30" s="4" t="inlineStr">
        <is>
          <t>VPL (3 anos)</t>
        </is>
      </c>
      <c r="B30" s="8">
        <f>-B5+NPV(B9,B28,B28,B28)</f>
        <v/>
      </c>
      <c r="C30" s="4" t="inlineStr"/>
      <c r="D30" s="4" t="inlineStr"/>
    </row>
    <row r="31" ht="30" customHeight="1">
      <c r="A31" s="12" t="inlineStr">
        <is>
          <t>No cenário pessimista o payback fica em torno de 2,6 anos e o VPL de 3 anos fica negativo (~ -R$ 2.705), voltando a positivo num horizonte de 4 anos (~ +R$ 5.684). A decisão de investir se sustenta, com margem mais estreita e dependendo de a plataforma ser usada por mais tempo.</t>
        </is>
      </c>
    </row>
    <row r="33" ht="20" customHeight="1">
      <c r="A33" s="2" t="inlineStr">
        <is>
          <t>Valor intangível (não cabe na planilha, mas conta)</t>
        </is>
      </c>
    </row>
    <row r="34">
      <c r="A34" s="15" t="inlineStr">
        <is>
          <t>•  Conformidade regulatória (LGPD) — obrigatório, não negociável</t>
        </is>
      </c>
    </row>
    <row r="35">
      <c r="A35" s="15" t="inlineStr">
        <is>
          <t>•  Segurança de veículos e motoristas</t>
        </is>
      </c>
    </row>
    <row r="36">
      <c r="A36" s="15" t="inlineStr">
        <is>
          <t>•  Decisão baseada em dados reais (valor esperado do Termo de Abertura)</t>
        </is>
      </c>
    </row>
    <row r="37">
      <c r="A37" s="15" t="inlineStr">
        <is>
          <t>•  Satisfação do cliente — solução acessível a um segmento mal atendido</t>
        </is>
      </c>
    </row>
    <row r="38">
      <c r="A38" s="15" t="inlineStr">
        <is>
          <t>•  Aprendizado da dupla — PMBOK 8 aplicado de ponta a ponta</t>
        </is>
      </c>
    </row>
  </sheetData>
  <mergeCells count="15">
    <mergeCell ref="A1:D1"/>
    <mergeCell ref="A37:D37"/>
    <mergeCell ref="A18:D18"/>
    <mergeCell ref="A31:D31"/>
    <mergeCell ref="A34:D34"/>
    <mergeCell ref="A35:D35"/>
    <mergeCell ref="A3:D3"/>
    <mergeCell ref="B4:D4"/>
    <mergeCell ref="A38:D38"/>
    <mergeCell ref="B26:D26"/>
    <mergeCell ref="A25:D25"/>
    <mergeCell ref="A33:D33"/>
    <mergeCell ref="A11:D11"/>
    <mergeCell ref="B12:D12"/>
    <mergeCell ref="A36:D3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52" customWidth="1" min="3" max="3"/>
  </cols>
  <sheetData>
    <row r="1" ht="26" customHeight="1">
      <c r="A1" s="1" t="inlineStr">
        <is>
          <t>6. MEDIR — Valor Agregado (EVM): valores-base, variações, índices e previsões</t>
        </is>
      </c>
    </row>
    <row r="3" ht="20" customHeight="1">
      <c r="A3" s="2" t="inlineStr">
        <is>
          <t>Os quatro valores-base</t>
        </is>
      </c>
    </row>
    <row r="4">
      <c r="A4" s="3" t="inlineStr">
        <is>
          <t>Sigla</t>
        </is>
      </c>
      <c r="B4" s="3" t="inlineStr">
        <is>
          <t>Nome</t>
        </is>
      </c>
      <c r="C4" s="3" t="inlineStr">
        <is>
          <t>O que é no TrackFleet</t>
        </is>
      </c>
    </row>
    <row r="5" ht="26" customHeight="1">
      <c r="A5" s="4" t="inlineStr">
        <is>
          <t>BAC</t>
        </is>
      </c>
      <c r="B5" s="4" t="inlineStr">
        <is>
          <t>Orçamento no término</t>
        </is>
      </c>
      <c r="C5" s="4" t="inlineStr">
        <is>
          <t>A linha de base de custos: R$ 32.770 (aba Orçar).</t>
        </is>
      </c>
    </row>
    <row r="6" ht="26" customHeight="1">
      <c r="A6" s="4" t="inlineStr">
        <is>
          <t>PV</t>
        </is>
      </c>
      <c r="B6" s="4" t="inlineStr">
        <is>
          <t>Valor Planejado</t>
        </is>
      </c>
      <c r="C6" s="4" t="inlineStr">
        <is>
          <t>Custo orçado do trabalho programado até a data (a curva S).</t>
        </is>
      </c>
    </row>
    <row r="7" ht="26" customHeight="1">
      <c r="A7" s="4" t="inlineStr">
        <is>
          <t>EV</t>
        </is>
      </c>
      <c r="B7" s="4" t="inlineStr">
        <is>
          <t>Valor Agregado</t>
        </is>
      </c>
      <c r="C7" s="4" t="inlineStr">
        <is>
          <t>Custo orçado do trabalho realmente concluído: BAC x % concluído.</t>
        </is>
      </c>
    </row>
    <row r="8" ht="26" customHeight="1">
      <c r="A8" s="4" t="inlineStr">
        <is>
          <t>AC</t>
        </is>
      </c>
      <c r="B8" s="4" t="inlineStr">
        <is>
          <t>Custo Real</t>
        </is>
      </c>
      <c r="C8" s="4" t="inlineStr">
        <is>
          <t>O que de fato saiu do bolso para entregar esse trabalho.</t>
        </is>
      </c>
    </row>
    <row r="10" ht="20" customHeight="1">
      <c r="A10" s="2" t="inlineStr">
        <is>
          <t>Variações, índices e previsões</t>
        </is>
      </c>
    </row>
    <row r="11">
      <c r="A11" s="3" t="inlineStr">
        <is>
          <t>Indicador</t>
        </is>
      </c>
      <c r="B11" s="3" t="inlineStr">
        <is>
          <t>Fórmula</t>
        </is>
      </c>
      <c r="C11" s="3" t="inlineStr">
        <is>
          <t>Leitura</t>
        </is>
      </c>
    </row>
    <row r="12" ht="24" customHeight="1">
      <c r="A12" s="4" t="inlineStr">
        <is>
          <t>CV — Variação de Custo</t>
        </is>
      </c>
      <c r="B12" s="4" t="inlineStr">
        <is>
          <t>EV - AC</t>
        </is>
      </c>
      <c r="C12" s="4" t="inlineStr">
        <is>
          <t>Positivo: abaixo do orçamento. Negativo: acima.</t>
        </is>
      </c>
    </row>
    <row r="13" ht="24" customHeight="1">
      <c r="A13" s="4" t="inlineStr">
        <is>
          <t>SV — Variação de Prazo</t>
        </is>
      </c>
      <c r="B13" s="4" t="inlineStr">
        <is>
          <t>EV - PV</t>
        </is>
      </c>
      <c r="C13" s="4" t="inlineStr">
        <is>
          <t>Positivo: adiantado. Negativo: atrasado.</t>
        </is>
      </c>
    </row>
    <row r="14" ht="24" customHeight="1">
      <c r="A14" s="4" t="inlineStr">
        <is>
          <t>CPI — Índice de Custo</t>
        </is>
      </c>
      <c r="B14" s="4" t="inlineStr">
        <is>
          <t>EV / AC</t>
        </is>
      </c>
      <c r="C14" s="4" t="inlineStr">
        <is>
          <t>Acima de 1,0 é bom; abaixo é ruim.</t>
        </is>
      </c>
    </row>
    <row r="15" ht="24" customHeight="1">
      <c r="A15" s="4" t="inlineStr">
        <is>
          <t>SPI — Índice de Prazo</t>
        </is>
      </c>
      <c r="B15" s="4" t="inlineStr">
        <is>
          <t>EV / PV</t>
        </is>
      </c>
      <c r="C15" s="4" t="inlineStr">
        <is>
          <t>Acima de 1,0 é bom; abaixo é ruim.</t>
        </is>
      </c>
    </row>
    <row r="16" ht="24" customHeight="1">
      <c r="A16" s="4" t="inlineStr">
        <is>
          <t>EAC — Estimativa no Término</t>
        </is>
      </c>
      <c r="B16" s="4" t="inlineStr">
        <is>
          <t>BAC / CPI</t>
        </is>
      </c>
      <c r="C16" s="4" t="inlineStr">
        <is>
          <t>Custo final previsto se a tendência continuar.</t>
        </is>
      </c>
    </row>
    <row r="17" ht="24" customHeight="1">
      <c r="A17" s="4" t="inlineStr">
        <is>
          <t>ETC — Estimativa para Terminar</t>
        </is>
      </c>
      <c r="B17" s="4" t="inlineStr">
        <is>
          <t>EAC - AC</t>
        </is>
      </c>
      <c r="C17" s="4" t="inlineStr">
        <is>
          <t>Quanto ainda falta gastar.</t>
        </is>
      </c>
    </row>
    <row r="18" ht="24" customHeight="1">
      <c r="A18" s="4" t="inlineStr">
        <is>
          <t>VAC — Variação no Término</t>
        </is>
      </c>
      <c r="B18" s="4" t="inlineStr">
        <is>
          <t>BAC - EAC</t>
        </is>
      </c>
      <c r="C18" s="4" t="inlineStr">
        <is>
          <t>Negativo: termina acima da linha de base.</t>
        </is>
      </c>
    </row>
    <row r="19" ht="24" customHeight="1">
      <c r="A19" s="4" t="inlineStr">
        <is>
          <t>TCPI — Índice para Terminar</t>
        </is>
      </c>
      <c r="B19" s="4" t="inlineStr">
        <is>
          <t>(BAC - EV) / (BAC - AC)</t>
        </is>
      </c>
      <c r="C19" s="4" t="inlineStr">
        <is>
          <t>Eficiência exigida do trabalho restante; acima de 1,0 é difícil.</t>
        </is>
      </c>
    </row>
    <row r="21" ht="30" customHeight="1">
      <c r="A21" s="12" t="inlineStr">
        <is>
          <t>Regras da aula: termina em 'Variação' subtrai; termina em 'Índice' divide. SV e SPI medem prazo, mas em unidades de dinheiro (o valor em R$ do trabalho), nunca em dias.</t>
        </is>
      </c>
    </row>
  </sheetData>
  <mergeCells count="4">
    <mergeCell ref="A1:C1"/>
    <mergeCell ref="A3:C3"/>
    <mergeCell ref="A21:C21"/>
    <mergeCell ref="A10:C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40" customWidth="1" min="3" max="3"/>
  </cols>
  <sheetData>
    <row r="1" ht="26" customHeight="1">
      <c r="A1" s="1" t="inlineStr">
        <is>
          <t>7. CONTROLAR CUSTOS — Exemplo resolvido (check-in do fim da Semana 6) e armadilhas</t>
        </is>
      </c>
    </row>
    <row r="3" ht="20" customHeight="1">
      <c r="A3" s="2" t="inlineStr">
        <is>
          <t>Entradas do check-in (edite estes valores — o restante recalcula)</t>
        </is>
      </c>
    </row>
    <row r="4">
      <c r="A4" s="3" t="inlineStr">
        <is>
          <t>Parâmetro</t>
        </is>
      </c>
      <c r="B4" s="3" t="inlineStr">
        <is>
          <t>Valor</t>
        </is>
      </c>
      <c r="C4" s="3" t="inlineStr">
        <is>
          <t>Observação</t>
        </is>
      </c>
    </row>
    <row r="5">
      <c r="A5" s="4" t="inlineStr">
        <is>
          <t>BAC — linha de base de custos</t>
        </is>
      </c>
      <c r="B5" s="8">
        <f>Orçar!B14</f>
        <v/>
      </c>
      <c r="C5" s="4" t="inlineStr">
        <is>
          <t>Da aba Orçar</t>
        </is>
      </c>
    </row>
    <row r="6">
      <c r="A6" s="4" t="inlineStr">
        <is>
          <t>% planejado até o corte</t>
        </is>
      </c>
      <c r="B6" s="13">
        <f>Orçar!B27</f>
        <v/>
      </c>
      <c r="C6" s="4" t="inlineStr">
        <is>
          <t>Curva S no fim da S6 (09/10)</t>
        </is>
      </c>
    </row>
    <row r="7">
      <c r="A7" s="4" t="inlineStr">
        <is>
          <t>% realmente concluído</t>
        </is>
      </c>
      <c r="B7" s="13" t="n">
        <v>0.62</v>
      </c>
      <c r="C7" s="4" t="inlineStr">
        <is>
          <t>Medido no check-in</t>
        </is>
      </c>
    </row>
    <row r="8">
      <c r="A8" s="4" t="inlineStr">
        <is>
          <t>Custo real acumulado (AC)</t>
        </is>
      </c>
      <c r="B8" s="8" t="n">
        <v>21200</v>
      </c>
      <c r="C8" s="4" t="inlineStr">
        <is>
          <t>Medido no check-in</t>
        </is>
      </c>
    </row>
    <row r="10" ht="20" customHeight="1">
      <c r="A10" s="2" t="inlineStr">
        <is>
          <t>Resultados calculados</t>
        </is>
      </c>
    </row>
    <row r="11">
      <c r="A11" s="3" t="inlineStr">
        <is>
          <t>Indicador</t>
        </is>
      </c>
      <c r="B11" s="3" t="inlineStr">
        <is>
          <t>Resultado</t>
        </is>
      </c>
      <c r="C11" s="3" t="inlineStr">
        <is>
          <t>Fórmula aplicada</t>
        </is>
      </c>
    </row>
    <row r="12">
      <c r="A12" s="4" t="inlineStr">
        <is>
          <t>PV — Valor Planejado</t>
        </is>
      </c>
      <c r="B12" s="8">
        <f>Orçar!C27</f>
        <v/>
      </c>
      <c r="C12" s="4" t="inlineStr">
        <is>
          <t>Curva S (aba Orçar)</t>
        </is>
      </c>
    </row>
    <row r="13">
      <c r="A13" s="4" t="inlineStr">
        <is>
          <t>EV — Valor Agregado</t>
        </is>
      </c>
      <c r="B13" s="8">
        <f>B5*B7</f>
        <v/>
      </c>
      <c r="C13" s="4" t="inlineStr">
        <is>
          <t>BAC x % concluído</t>
        </is>
      </c>
    </row>
    <row r="14">
      <c r="A14" s="4" t="inlineStr">
        <is>
          <t>AC — Custo Real</t>
        </is>
      </c>
      <c r="B14" s="8">
        <f>B8</f>
        <v/>
      </c>
      <c r="C14" s="4" t="inlineStr">
        <is>
          <t>medido</t>
        </is>
      </c>
    </row>
    <row r="15">
      <c r="A15" s="4" t="inlineStr">
        <is>
          <t>CV — Variação de Custo</t>
        </is>
      </c>
      <c r="B15" s="8">
        <f>B13-B8</f>
        <v/>
      </c>
      <c r="C15" s="4" t="inlineStr">
        <is>
          <t>EV - AC</t>
        </is>
      </c>
    </row>
    <row r="16">
      <c r="A16" s="4" t="inlineStr">
        <is>
          <t>SV — Variação de Prazo</t>
        </is>
      </c>
      <c r="B16" s="8">
        <f>B13-B12</f>
        <v/>
      </c>
      <c r="C16" s="4" t="inlineStr">
        <is>
          <t>EV - PV</t>
        </is>
      </c>
    </row>
    <row r="17">
      <c r="A17" s="4" t="inlineStr">
        <is>
          <t>CPI — Índice de Custo</t>
        </is>
      </c>
      <c r="B17" s="7">
        <f>B13/B8</f>
        <v/>
      </c>
      <c r="C17" s="4" t="inlineStr">
        <is>
          <t>EV / AC</t>
        </is>
      </c>
    </row>
    <row r="18">
      <c r="A18" s="4" t="inlineStr">
        <is>
          <t>SPI — Índice de Prazo</t>
        </is>
      </c>
      <c r="B18" s="7">
        <f>B13/B12</f>
        <v/>
      </c>
      <c r="C18" s="4" t="inlineStr">
        <is>
          <t>EV / PV</t>
        </is>
      </c>
    </row>
    <row r="19">
      <c r="A19" s="4" t="inlineStr">
        <is>
          <t>EAC — Estimativa no Término</t>
        </is>
      </c>
      <c r="B19" s="8">
        <f>B5/B17</f>
        <v/>
      </c>
      <c r="C19" s="4" t="inlineStr">
        <is>
          <t>BAC / CPI</t>
        </is>
      </c>
    </row>
    <row r="20">
      <c r="A20" s="4" t="inlineStr">
        <is>
          <t>ETC — Estimativa para Terminar</t>
        </is>
      </c>
      <c r="B20" s="8">
        <f>B19-B8</f>
        <v/>
      </c>
      <c r="C20" s="4" t="inlineStr">
        <is>
          <t>EAC - AC</t>
        </is>
      </c>
    </row>
    <row r="21">
      <c r="A21" s="4" t="inlineStr">
        <is>
          <t>VAC — Variação no Término</t>
        </is>
      </c>
      <c r="B21" s="8">
        <f>B5-B19</f>
        <v/>
      </c>
      <c r="C21" s="4" t="inlineStr">
        <is>
          <t>BAC - EAC</t>
        </is>
      </c>
    </row>
    <row r="22">
      <c r="A22" s="4" t="inlineStr">
        <is>
          <t>TCPI — Índice para Terminar</t>
        </is>
      </c>
      <c r="B22" s="7">
        <f>(B5-B13)/(B5-B8)</f>
        <v/>
      </c>
      <c r="C22" s="4" t="inlineStr">
        <is>
          <t>(BAC - EV)/(BAC - AC)</t>
        </is>
      </c>
    </row>
    <row r="24" ht="20" customHeight="1">
      <c r="A24" s="2" t="inlineStr">
        <is>
          <t>Veredito e decisão</t>
        </is>
      </c>
    </row>
    <row r="25" ht="96" customHeight="1">
      <c r="A25" s="15" t="inlineStr">
        <is>
          <t>No ritmo atual o projeto está levemente acima do orçamento (CPI ~0,96) e atrasado (SPI ~0,92). A projeção de término (EAC ~R$ 34.194) fura a linha de base em ~R$ 1.424, o equivalente a 87% da reserva de gerenciamento (R$ 1.639). Pela tolerância definida na aba Planejar, ainda não é escalonamento imediato, mas dispara revisão formal e coloca o patrocinador em alerta. A ação corretiva se concentra no maior risco do caminho crítico — o Motor de alertas (atividade A8 do Cronograma). O TCPI ~1,08 exige o trabalho restante ~8% mais eficiente que o planejado. A decisão olha a TENDÊNCIA do CPI ao longo dos check-ins, não a foto de uma semana.</t>
        </is>
      </c>
    </row>
    <row r="27" ht="20" customHeight="1">
      <c r="A27" s="2" t="inlineStr">
        <is>
          <t>Armadilhas financeiras e como o TrackFleet as evita</t>
        </is>
      </c>
    </row>
    <row r="28">
      <c r="A28" s="3" t="inlineStr">
        <is>
          <t>Armadilha</t>
        </is>
      </c>
      <c r="B28" s="3" t="inlineStr">
        <is>
          <t>Como o TrackFleet evita</t>
        </is>
      </c>
      <c r="C28" s="5" t="n"/>
    </row>
    <row r="29" ht="30" customHeight="1">
      <c r="A29" s="4" t="inlineStr">
        <is>
          <t>Confundir linha de base com orçamento</t>
        </is>
      </c>
      <c r="B29" s="4" t="inlineStr">
        <is>
          <t>A reserva de gerenciamento fica fora da linha de base; o EVM compara sempre contra o BAC, nunca contra o orçamento total.</t>
        </is>
      </c>
      <c r="C29" s="5" t="n"/>
    </row>
    <row r="30" ht="30" customHeight="1">
      <c r="A30" s="4" t="inlineStr">
        <is>
          <t>Trocar índice por variação</t>
        </is>
      </c>
      <c r="B30" s="4" t="inlineStr">
        <is>
          <t>Termina em 'Índice' divide; termina em 'Variação' subtrai. SV/SPI em reais, não em dias.</t>
        </is>
      </c>
      <c r="C30" s="5" t="n"/>
    </row>
    <row r="31" ht="30" customHeight="1">
      <c r="A31" s="4" t="inlineStr">
        <is>
          <t>Inverter a leitura do TCPI</t>
        </is>
      </c>
      <c r="B31" s="4" t="inlineStr">
        <is>
          <t>Para CPI/SPI, &lt;1 é ruim; para o TCPI, &gt;1 é o difícil (trabalho restante mais eficiente).</t>
        </is>
      </c>
      <c r="C31" s="5" t="n"/>
    </row>
    <row r="32" ht="30" customHeight="1">
      <c r="A32" s="4" t="inlineStr">
        <is>
          <t>Achar que orçamento cumprido é sucesso</t>
        </is>
      </c>
      <c r="B32" s="4" t="inlineStr">
        <is>
          <t>O documento mede também o valor entregue (ROI, VPL, TIR, payback) na aba Gerenciar.</t>
        </is>
      </c>
      <c r="C32" s="5" t="n"/>
    </row>
    <row r="33" ht="30" customHeight="1">
      <c r="A33" s="4" t="inlineStr">
        <is>
          <t>Começar o EVM tarde demais</t>
        </is>
      </c>
      <c r="B33" s="4" t="inlineStr">
        <is>
          <t>A medição começa no dia 1, no mesmo check-in semanal, com a janela de intervenção aberta.</t>
        </is>
      </c>
      <c r="C33" s="5" t="n"/>
    </row>
    <row r="34" ht="30" customHeight="1">
      <c r="A34" s="4" t="inlineStr">
        <is>
          <t>Relatório sem narrativa</t>
        </is>
      </c>
      <c r="B34" s="4" t="inlineStr">
        <is>
          <t>Cada indicador vem com a decisão que dispara — dado sem decisão não é controle.</t>
        </is>
      </c>
      <c r="C34" s="5" t="n"/>
    </row>
    <row r="35" ht="30" customHeight="1">
      <c r="A35" s="4" t="inlineStr">
        <is>
          <t>Escolher o EAC errado</t>
        </is>
      </c>
      <c r="B35" s="4" t="inlineStr">
        <is>
          <t>Como o desvio é variação típica, EAC = BAC / CPI. Evento único: AC + (BAC - EV). Pessimista (custo e prazo pesam juntos): AC + (BAC - EV) / (CPI x SPI).</t>
        </is>
      </c>
      <c r="C35" s="5" t="n"/>
    </row>
  </sheetData>
  <mergeCells count="14">
    <mergeCell ref="A10:C10"/>
    <mergeCell ref="A25:C25"/>
    <mergeCell ref="B30:C30"/>
    <mergeCell ref="B29:C29"/>
    <mergeCell ref="B33:C33"/>
    <mergeCell ref="A1:C1"/>
    <mergeCell ref="B34:C34"/>
    <mergeCell ref="B28:C28"/>
    <mergeCell ref="A27:C27"/>
    <mergeCell ref="A3:C3"/>
    <mergeCell ref="B32:C32"/>
    <mergeCell ref="B31:C31"/>
    <mergeCell ref="B35:C35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2026-09-04T21:42:04Z</dcterms:created>
  <dcterms:modified xsi:type="dcterms:W3CDTF">2026-10-01T23:38:36Z</dcterms:modified>
</cp:coreProperties>
</file>